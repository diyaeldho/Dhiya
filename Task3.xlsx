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f57c0096bfaaf/Desktop/Data Analytics/"/>
    </mc:Choice>
  </mc:AlternateContent>
  <xr:revisionPtr revIDLastSave="0" documentId="8_{3349731A-AFFB-4C2D-BA27-2B9A5FFE5EA0}" xr6:coauthVersionLast="47" xr6:coauthVersionMax="47" xr10:uidLastSave="{00000000-0000-0000-0000-000000000000}"/>
  <bookViews>
    <workbookView xWindow="-108" yWindow="-108" windowWidth="23256" windowHeight="12456" firstSheet="1" activeTab="3" xr2:uid="{AC965068-A373-4491-BA2A-0D13E687F35D}"/>
  </bookViews>
  <sheets>
    <sheet name="Descriptive summary" sheetId="2" r:id="rId1"/>
    <sheet name="Descriptive Statistics" sheetId="1" r:id="rId2"/>
    <sheet name="Date and Times Functions" sheetId="3" r:id="rId3"/>
    <sheet name="Lookups" sheetId="4" r:id="rId4"/>
    <sheet name="Pivot Table" sheetId="5" r:id="rId5"/>
    <sheet name="Charts" sheetId="6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4" l="1"/>
  <c r="I20" i="4"/>
  <c r="I18" i="4"/>
  <c r="I12" i="4"/>
  <c r="I13" i="4"/>
  <c r="I11" i="4"/>
  <c r="I4" i="4"/>
  <c r="I5" i="4"/>
  <c r="I3" i="4"/>
  <c r="H2" i="3"/>
  <c r="H3" i="3"/>
  <c r="H4" i="3"/>
  <c r="G4" i="3"/>
  <c r="G2" i="3"/>
  <c r="G3" i="3"/>
  <c r="F2" i="3"/>
  <c r="F3" i="3"/>
  <c r="F4" i="3"/>
  <c r="E2" i="3"/>
  <c r="E3" i="3"/>
  <c r="E4" i="3"/>
  <c r="D2" i="3"/>
  <c r="D3" i="3"/>
  <c r="D4" i="3"/>
</calcChain>
</file>

<file path=xl/sharedStrings.xml><?xml version="1.0" encoding="utf-8"?>
<sst xmlns="http://schemas.openxmlformats.org/spreadsheetml/2006/main" count="138" uniqueCount="74">
  <si>
    <t>Student</t>
  </si>
  <si>
    <t>Mark</t>
  </si>
  <si>
    <t>A</t>
  </si>
  <si>
    <t>B</t>
  </si>
  <si>
    <t>C</t>
  </si>
  <si>
    <t>D</t>
  </si>
  <si>
    <t>E</t>
  </si>
  <si>
    <t>F</t>
  </si>
  <si>
    <t>G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</si>
  <si>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</si>
  <si>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</si>
  <si>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</si>
  <si>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</si>
  <si>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</si>
  <si>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</si>
  <si>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</si>
  <si>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</si>
  <si>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</si>
  <si>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</si>
  <si>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</si>
  <si>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</si>
  <si>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</si>
  <si>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</si>
  <si>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1Q</t>
  </si>
  <si>
    <t>2Q</t>
  </si>
  <si>
    <t>3Q</t>
  </si>
  <si>
    <t>4Q</t>
  </si>
  <si>
    <t>Employee Name</t>
  </si>
  <si>
    <t>Joining Date</t>
  </si>
  <si>
    <t>Resignation Date</t>
  </si>
  <si>
    <t>Ravi</t>
  </si>
  <si>
    <t>Anu</t>
  </si>
  <si>
    <t>Rahul</t>
  </si>
  <si>
    <t>Today</t>
  </si>
  <si>
    <t>Year</t>
  </si>
  <si>
    <t>Month</t>
  </si>
  <si>
    <t>Datedif</t>
  </si>
  <si>
    <t>Now</t>
  </si>
  <si>
    <t>ID</t>
  </si>
  <si>
    <t>Name</t>
  </si>
  <si>
    <t>Departments</t>
  </si>
  <si>
    <t>Arun</t>
  </si>
  <si>
    <t>Meena</t>
  </si>
  <si>
    <t>Sanjay</t>
  </si>
  <si>
    <t>IT</t>
  </si>
  <si>
    <t>HR</t>
  </si>
  <si>
    <t>Finance</t>
  </si>
  <si>
    <t>Bonus</t>
  </si>
  <si>
    <t>Department</t>
  </si>
  <si>
    <t>VLOOKUP</t>
  </si>
  <si>
    <t>XLOOKUP</t>
  </si>
  <si>
    <t>Index+match</t>
  </si>
  <si>
    <t>XLOOKUP is more flexible because it can look up data in any direction, returns exact matches by default, and is easier and more reliable than VLOOKUP.</t>
  </si>
  <si>
    <t>5Q</t>
  </si>
  <si>
    <t>VLOOKUP searches data vertically in columns, while HLOOKUP searches data horizontally across rows.</t>
  </si>
  <si>
    <t>Date</t>
  </si>
  <si>
    <t>Region</t>
  </si>
  <si>
    <t>Product</t>
  </si>
  <si>
    <t>Sales</t>
  </si>
  <si>
    <t>North</t>
  </si>
  <si>
    <t>South</t>
  </si>
  <si>
    <t>East</t>
  </si>
  <si>
    <t>south</t>
  </si>
  <si>
    <t>Row Labels</t>
  </si>
  <si>
    <t>Grand Total</t>
  </si>
  <si>
    <t>Sum of Sales</t>
  </si>
  <si>
    <t>A PivotTable quickly summarizes and analyzes large amounts of data without using complex formulas.</t>
  </si>
  <si>
    <t>Jan</t>
  </si>
  <si>
    <t>Feb</t>
  </si>
  <si>
    <t>Mar</t>
  </si>
  <si>
    <t>Apr</t>
  </si>
  <si>
    <t>May</t>
  </si>
  <si>
    <t>Bar Chart: Uses horizontal bars and is best when category names are long or there are many categories.
Column Chart: Uses vertical columns and is best for comparing values across a few categories.</t>
  </si>
  <si>
    <t>A Line Chart is the best chart to show a growth trend because it clearly displays how values increase or decrease over time, making trends easy to identify.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</si>
</sst>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Continuous"/>
    </xf>
    <xf numFmtId="14" fontId="0" fillId="0" borderId="0" xfId="0" applyNumberFormat="1"/>
    <xf numFmtId="22" fontId="0" fillId="0" borderId="0" xfId="0" applyNumberFormat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numFmt numFmtId="21" formatCode="dd/m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[Task3.xlsx]Pivot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998569789554749"/>
          <c:y val="0.28488588926384201"/>
          <c:w val="0.57087910792588048"/>
          <c:h val="0.366048743907011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Table'!$E$2:$E$5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'Pivot Table'!$F$2:$F$5</c:f>
              <c:numCache>
                <c:formatCode>General</c:formatCode>
                <c:ptCount val="3"/>
                <c:pt idx="0">
                  <c:v>1800</c:v>
                </c:pt>
                <c:pt idx="1">
                  <c:v>3000</c:v>
                </c:pt>
                <c:pt idx="2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C-4742-B217-098DCCFEF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37471"/>
        <c:axId val="30930095"/>
      </c:barChart>
      <c:catAx>
        <c:axId val="7233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30095"/>
        <c:crosses val="autoZero"/>
        <c:auto val="1"/>
        <c:lblAlgn val="ctr"/>
        <c:lblOffset val="100"/>
        <c:noMultiLvlLbl val="0"/>
      </c:catAx>
      <c:valAx>
        <c:axId val="3093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3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37702804942978"/>
          <c:y val="0.22863849765258218"/>
          <c:w val="0.85572617479754531"/>
          <c:h val="0.595652127991043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10000</c:v>
                </c:pt>
                <c:pt idx="1">
                  <c:v>12000</c:v>
                </c:pt>
                <c:pt idx="2">
                  <c:v>15000</c:v>
                </c:pt>
                <c:pt idx="3">
                  <c:v>13000</c:v>
                </c:pt>
                <c:pt idx="4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4-47E8-A941-73830D00B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3205296"/>
        <c:axId val="30936815"/>
      </c:barChart>
      <c:catAx>
        <c:axId val="186320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36815"/>
        <c:crosses val="autoZero"/>
        <c:auto val="1"/>
        <c:lblAlgn val="ctr"/>
        <c:lblOffset val="100"/>
        <c:noMultiLvlLbl val="0"/>
      </c:catAx>
      <c:valAx>
        <c:axId val="3093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20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Charts!$A$2:$A$6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10000</c:v>
                </c:pt>
                <c:pt idx="1">
                  <c:v>12000</c:v>
                </c:pt>
                <c:pt idx="2">
                  <c:v>15000</c:v>
                </c:pt>
                <c:pt idx="3">
                  <c:v>13000</c:v>
                </c:pt>
                <c:pt idx="4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2-4547-B199-A241996CB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038063"/>
        <c:axId val="22590927"/>
      </c:lineChart>
      <c:catAx>
        <c:axId val="7903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90927"/>
        <c:crosses val="autoZero"/>
        <c:auto val="1"/>
        <c:lblAlgn val="ctr"/>
        <c:lblOffset val="100"/>
        <c:noMultiLvlLbl val="0"/>
      </c:catAx>
      <c:valAx>
        <c:axId val="2259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38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80-44E6-8805-3DCAD75897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80-44E6-8805-3DCAD75897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780-44E6-8805-3DCAD75897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780-44E6-8805-3DCAD75897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780-44E6-8805-3DCAD758979A}"/>
              </c:ext>
            </c:extLst>
          </c:dPt>
          <c:dLbls>
            <c:delete val="1"/>
          </c:dLbls>
          <c:cat>
            <c:strRef>
              <c:f>Charts!$A$2:$A$6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10000</c:v>
                </c:pt>
                <c:pt idx="1">
                  <c:v>12000</c:v>
                </c:pt>
                <c:pt idx="2">
                  <c:v>15000</c:v>
                </c:pt>
                <c:pt idx="3">
                  <c:v>13000</c:v>
                </c:pt>
                <c:pt idx="4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7-4E38-A8B3-FFFEF3000DE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6</xdr:row>
      <xdr:rowOff>118110</xdr:rowOff>
    </xdr:from>
    <xdr:to>
      <xdr:col>8</xdr:col>
      <xdr:colOff>297180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6EE855-31D3-000D-352C-165BBA027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0</xdr:row>
      <xdr:rowOff>80010</xdr:rowOff>
    </xdr:from>
    <xdr:to>
      <xdr:col>11</xdr:col>
      <xdr:colOff>45720</xdr:colOff>
      <xdr:row>10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A4BF8C-55F2-9D02-BD55-0B022C746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7620</xdr:colOff>
      <xdr:row>0</xdr:row>
      <xdr:rowOff>15240</xdr:rowOff>
    </xdr:from>
    <xdr:to>
      <xdr:col>18</xdr:col>
      <xdr:colOff>38100</xdr:colOff>
      <xdr:row>10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0E2B0-0C99-5508-3B5F-BC14A11C0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579120</xdr:colOff>
      <xdr:row>12</xdr:row>
      <xdr:rowOff>38100</xdr:rowOff>
    </xdr:from>
    <xdr:to>
      <xdr:col>10</xdr:col>
      <xdr:colOff>213360</xdr:colOff>
      <xdr:row>23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2B3F30-8D62-C863-51F0-B7FF5E69F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33.822909722221" createdVersion="8" refreshedVersion="8" minRefreshableVersion="3" recordCount="5" xr:uid="{0558CD3B-163B-4908-AA08-4155D37A33AE}">
  <cacheSource type="worksheet">
    <worksheetSource name="Table2"/>
  </cacheSource>
  <cacheFields count="4">
    <cacheField name="Date" numFmtId="16">
      <sharedItems containsSemiMixedTypes="0" containsNonDate="0" containsDate="1" containsString="0" minDate="2026-01-01T00:00:00" maxDate="2026-01-06T00:00:00"/>
    </cacheField>
    <cacheField name="Region" numFmtId="0">
      <sharedItems count="3">
        <s v="North"/>
        <s v="South"/>
        <s v="East"/>
      </sharedItems>
    </cacheField>
    <cacheField name="Product" numFmtId="0">
      <sharedItems count="3">
        <s v="A"/>
        <s v="B"/>
        <s v="C"/>
      </sharedItems>
    </cacheField>
    <cacheField name="Sales" numFmtId="0">
      <sharedItems containsSemiMixedTypes="0" containsString="0" containsNumber="1" containsInteger="1" minValue="1000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6-01-01T00:00:00"/>
    <x v="0"/>
    <x v="0"/>
    <n v="1000"/>
  </r>
  <r>
    <d v="2026-01-02T00:00:00"/>
    <x v="1"/>
    <x v="1"/>
    <n v="1500"/>
  </r>
  <r>
    <d v="2026-01-03T00:00:00"/>
    <x v="0"/>
    <x v="0"/>
    <n v="2000"/>
  </r>
  <r>
    <d v="2026-01-04T00:00:00"/>
    <x v="2"/>
    <x v="2"/>
    <n v="1800"/>
  </r>
  <r>
    <d v="2026-01-05T00:00:00"/>
    <x v="1"/>
    <x v="0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A55B4-9275-415E-8EA6-38A2FF1D209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5" firstHeaderRow="1" firstDataRow="1" firstDataCol="1"/>
  <pivotFields count="4">
    <pivotField numFmtId="16"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A3973-0E30-406F-A3D4-AA9515FC7DE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:F5" firstHeaderRow="1" firstDataRow="1" firstDataCol="1"/>
  <pivotFields count="4">
    <pivotField numFmtId="16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FE0945-2115-4482-BC4F-9A068B3F6E2C}" name="Table1" displayName="Table1" ref="A1:H4" totalsRowShown="0">
  <autoFilter ref="A1:H4" xr:uid="{DBFE0945-2115-4482-BC4F-9A068B3F6E2C}"/>
  <tableColumns count="8">
    <tableColumn id="1" xr3:uid="{B7352A99-9811-4D66-AC0B-0646646E401B}" name="Employee Name"/>
    <tableColumn id="2" xr3:uid="{AE643BED-6DFB-4739-AFCC-19ADAEFDFB94}" name="Joining Date" dataDxfId="6"/>
    <tableColumn id="3" xr3:uid="{07BE845C-8FEF-4A4A-B474-B6DEAA6476FE}" name="Resignation Date"/>
    <tableColumn id="4" xr3:uid="{370CB818-35E5-4A5D-B80C-57FEADFD898E}" name="Today" dataDxfId="5">
      <calculatedColumnFormula>TODAY()</calculatedColumnFormula>
    </tableColumn>
    <tableColumn id="5" xr3:uid="{066ABF97-5E95-4102-BEE4-166B699F9E80}" name="Year" dataDxfId="4">
      <calculatedColumnFormula>YEAR(Table1[[#This Row],[Joining Date]])</calculatedColumnFormula>
    </tableColumn>
    <tableColumn id="6" xr3:uid="{417BF05A-7756-4F25-8284-4BF867E3845B}" name="Month" dataDxfId="3">
      <calculatedColumnFormula>MONTH(Table1[[#This Row],[Joining Date]])</calculatedColumnFormula>
    </tableColumn>
    <tableColumn id="7" xr3:uid="{95088090-64E8-45C8-94FB-61B25C14C717}" name="Datedif" dataDxfId="2">
      <calculatedColumnFormula>DATEDIF(Table1[[#This Row],[Joining Date]],Table1[[#This Row],[Resignation Date]],"y")</calculatedColumnFormula>
    </tableColumn>
    <tableColumn id="8" xr3:uid="{C4384544-3FFA-4AF7-BC22-46C774F0BBB7}" name="Now" dataDxfId="1">
      <calculatedColumnFormula>NOW()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39D283-0B1C-4AF2-A5C8-405967CE2663}" name="Table2" displayName="Table2" ref="A1:D6" totalsRowShown="0">
  <autoFilter ref="A1:D6" xr:uid="{2E39D283-0B1C-4AF2-A5C8-405967CE2663}"/>
  <tableColumns count="4">
    <tableColumn id="1" xr3:uid="{928FB806-C3D8-4288-9B3D-87C6041BB061}" name="Date" dataDxfId="0"/>
    <tableColumn id="2" xr3:uid="{C6AF2B7F-EF39-44D9-ABAF-6122A18A3437}" name="Region"/>
    <tableColumn id="3" xr3:uid="{81D1B5C4-7797-4226-BFF6-A709B5D2981F}" name="Product"/>
    <tableColumn id="4" xr3:uid="{01E0240F-CFD5-49E8-AD96-5894482C0159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6FDC4C-4633-4018-9B13-11E6339AA34D}" name="Table3" displayName="Table3" ref="A1:B6" totalsRowShown="0">
  <autoFilter ref="A1:B6" xr:uid="{476FDC4C-4633-4018-9B13-11E6339AA34D}"/>
  <tableColumns count="2">
    <tableColumn id="1" xr3:uid="{5BDECE91-7DA3-478F-BFB1-4DFC2523FC96}" name="Month"/>
    <tableColumn id="2" xr3:uid="{C0DEBFCA-883F-46D6-B76C-15DE6ECBBB94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5ECE-8306-4BD3-8ABB-960CD2AC6B0D}">
  <dimension ref="A1:B15"/>
  <sheetViews>
    <sheetView workbookViewId="0">
      <selection activeCell="A12" sqref="A12:B13"/>
    </sheetView>
  </sheetViews>
  <sheetFormatPr defaultRowHeight="14.4" x14ac:dyDescent="0.3"/>
  <cols>
    <col min="1" max="1" width="16.5546875" bestFit="1" customWidth="1"/>
  </cols>
  <sheetData>
    <row r="1" spans="1:2" x14ac:dyDescent="0.3">
      <c r="A1" s="2" t="s">
        <v>9</v>
      </c>
      <c r="B1" s="2"/>
    </row>
    <row r="3" spans="1:2" x14ac:dyDescent="0.3">
      <c r="A3" t="s">
        <v>10</v>
      </c>
      <c r="B3">
        <v>75</v>
      </c>
    </row>
    <row r="4" spans="1:2" x14ac:dyDescent="0.3">
      <c r="A4" t="s">
        <v>11</v>
      </c>
      <c r="B4">
        <v>4.0824829046386295</v>
      </c>
    </row>
    <row r="5" spans="1:2" x14ac:dyDescent="0.3">
      <c r="A5" t="s">
        <v>12</v>
      </c>
      <c r="B5">
        <v>75</v>
      </c>
    </row>
    <row r="6" spans="1:2" x14ac:dyDescent="0.3">
      <c r="A6" t="s">
        <v>13</v>
      </c>
      <c r="B6" t="e">
        <v>#N/A</v>
      </c>
    </row>
    <row r="7" spans="1:2" x14ac:dyDescent="0.3">
      <c r="A7" t="s">
        <v>14</v>
      </c>
      <c r="B7">
        <v>10.801234497346433</v>
      </c>
    </row>
    <row r="8" spans="1:2" x14ac:dyDescent="0.3">
      <c r="A8" t="s">
        <v>15</v>
      </c>
      <c r="B8">
        <v>116.66666666666667</v>
      </c>
    </row>
    <row r="9" spans="1:2" x14ac:dyDescent="0.3">
      <c r="A9" t="s">
        <v>16</v>
      </c>
      <c r="B9">
        <v>-1.2000000000000011</v>
      </c>
    </row>
    <row r="10" spans="1:2" x14ac:dyDescent="0.3">
      <c r="A10" t="s">
        <v>17</v>
      </c>
      <c r="B10">
        <v>0</v>
      </c>
    </row>
    <row r="11" spans="1:2" x14ac:dyDescent="0.3">
      <c r="A11" t="s">
        <v>18</v>
      </c>
      <c r="B11">
        <v>30</v>
      </c>
    </row>
    <row r="12" spans="1:2" x14ac:dyDescent="0.3">
      <c r="A12" t="s">
        <v>19</v>
      </c>
      <c r="B12">
        <v>60</v>
      </c>
    </row>
    <row r="13" spans="1:2" x14ac:dyDescent="0.3">
      <c r="A13" t="s">
        <v>20</v>
      </c>
      <c r="B13">
        <v>90</v>
      </c>
    </row>
    <row r="14" spans="1:2" x14ac:dyDescent="0.3">
      <c r="A14" t="s">
        <v>21</v>
      </c>
      <c r="B14">
        <v>525</v>
      </c>
    </row>
    <row r="15" spans="1:2" ht="15" thickBot="1" x14ac:dyDescent="0.35">
      <c r="A15" s="1" t="s">
        <v>22</v>
      </c>
      <c r="B15" s="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8223-C4E9-4293-8168-9E8241CCA39F}">
  <dimension ref="A1:C14"/>
  <sheetViews>
    <sheetView workbookViewId="0">
      <selection activeCell="E18" sqref="E18"/>
    </sheetView>
  </sheetViews>
  <sheetFormatPr defaultRowHeight="14.4" x14ac:dyDescent="0.3"/>
  <cols>
    <col min="2" max="2" width="16.554687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>
        <v>65</v>
      </c>
    </row>
    <row r="3" spans="1:3" x14ac:dyDescent="0.3">
      <c r="A3" t="s">
        <v>3</v>
      </c>
      <c r="B3">
        <v>70</v>
      </c>
    </row>
    <row r="4" spans="1:3" x14ac:dyDescent="0.3">
      <c r="A4" t="s">
        <v>4</v>
      </c>
      <c r="B4">
        <v>75</v>
      </c>
    </row>
    <row r="5" spans="1:3" x14ac:dyDescent="0.3">
      <c r="A5" t="s">
        <v>5</v>
      </c>
      <c r="B5">
        <v>80</v>
      </c>
    </row>
    <row r="6" spans="1:3" x14ac:dyDescent="0.3">
      <c r="A6" t="s">
        <v>6</v>
      </c>
      <c r="B6">
        <v>90</v>
      </c>
    </row>
    <row r="7" spans="1:3" x14ac:dyDescent="0.3">
      <c r="A7" t="s">
        <v>7</v>
      </c>
      <c r="B7">
        <v>85</v>
      </c>
    </row>
    <row r="8" spans="1:3" x14ac:dyDescent="0.3">
      <c r="A8" t="s">
        <v>8</v>
      </c>
      <c r="B8">
        <v>60</v>
      </c>
    </row>
    <row r="10" spans="1:3" x14ac:dyDescent="0.3">
      <c r="A10" t="s">
        <v>23</v>
      </c>
      <c r="B10" t="s">
        <v>10</v>
      </c>
      <c r="C10">
        <v>75</v>
      </c>
    </row>
    <row r="11" spans="1:3" x14ac:dyDescent="0.3">
      <c r="A11" t="s">
        <v>24</v>
      </c>
      <c r="B11" t="s">
        <v>12</v>
      </c>
      <c r="C11">
        <v>75</v>
      </c>
    </row>
    <row r="12" spans="1:3" x14ac:dyDescent="0.3">
      <c r="A12" t="s">
        <v>25</v>
      </c>
      <c r="B12" t="s">
        <v>14</v>
      </c>
      <c r="C12">
        <v>10.801234497346433</v>
      </c>
    </row>
    <row r="13" spans="1:3" x14ac:dyDescent="0.3">
      <c r="A13" t="s">
        <v>26</v>
      </c>
      <c r="B13" t="s">
        <v>19</v>
      </c>
      <c r="C13">
        <v>60</v>
      </c>
    </row>
    <row r="14" spans="1:3" x14ac:dyDescent="0.3">
      <c r="B14" t="s">
        <v>20</v>
      </c>
      <c r="C14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8E88-3B47-4EE4-8F87-8CA817458E18}">
  <dimension ref="A1:H4"/>
  <sheetViews>
    <sheetView workbookViewId="0">
      <selection activeCell="H3" sqref="H3"/>
    </sheetView>
  </sheetViews>
  <sheetFormatPr defaultRowHeight="14.4" x14ac:dyDescent="0.3"/>
  <cols>
    <col min="1" max="1" width="16.6640625" customWidth="1"/>
    <col min="2" max="2" width="13.109375" customWidth="1"/>
    <col min="3" max="3" width="17" customWidth="1"/>
    <col min="4" max="4" width="10.33203125" bestFit="1" customWidth="1"/>
    <col min="5" max="5" width="6.88671875" bestFit="1" customWidth="1"/>
    <col min="7" max="7" width="9.33203125" bestFit="1" customWidth="1"/>
    <col min="8" max="8" width="15.44140625" bestFit="1" customWidth="1"/>
  </cols>
  <sheetData>
    <row r="1" spans="1:8" x14ac:dyDescent="0.3">
      <c r="A1" t="s">
        <v>27</v>
      </c>
      <c r="B1" t="s">
        <v>28</v>
      </c>
      <c r="C1" t="s">
        <v>29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3">
      <c r="A2" t="s">
        <v>30</v>
      </c>
      <c r="B2" s="3">
        <v>43831</v>
      </c>
      <c r="C2" s="3">
        <v>45000</v>
      </c>
      <c r="D2" s="3">
        <f t="shared" ref="D2:D4" ca="1" si="0">TODAY()</f>
        <v>46234</v>
      </c>
      <c r="E2">
        <f>YEAR(Table1[[#This Row],[Joining Date]])</f>
        <v>2020</v>
      </c>
      <c r="F2">
        <f>MONTH(Table1[[#This Row],[Joining Date]])</f>
        <v>1</v>
      </c>
      <c r="G2">
        <f>DATEDIF(Table1[[#This Row],[Joining Date]],Table1[[#This Row],[Resignation Date]],"y")</f>
        <v>3</v>
      </c>
      <c r="H2" s="4">
        <f t="shared" ref="H2:H4" ca="1" si="1">NOW()</f>
        <v>46234.436918865744</v>
      </c>
    </row>
    <row r="3" spans="1:8" x14ac:dyDescent="0.3">
      <c r="A3" t="s">
        <v>31</v>
      </c>
      <c r="B3" s="3">
        <v>43595</v>
      </c>
      <c r="C3" s="3">
        <v>44691</v>
      </c>
      <c r="D3" s="3">
        <f t="shared" ca="1" si="0"/>
        <v>46234</v>
      </c>
      <c r="E3">
        <f>YEAR(Table1[[#This Row],[Joining Date]])</f>
        <v>2019</v>
      </c>
      <c r="F3">
        <f>MONTH(Table1[[#This Row],[Joining Date]])</f>
        <v>5</v>
      </c>
      <c r="G3">
        <f>DATEDIF(Table1[[#This Row],[Joining Date]],Table1[[#This Row],[Resignation Date]],"y")</f>
        <v>3</v>
      </c>
      <c r="H3" s="4">
        <f t="shared" ca="1" si="1"/>
        <v>46234.436918865744</v>
      </c>
    </row>
    <row r="4" spans="1:8" x14ac:dyDescent="0.3">
      <c r="A4" t="s">
        <v>32</v>
      </c>
      <c r="B4" s="3">
        <v>44423</v>
      </c>
      <c r="D4" s="3">
        <f t="shared" ca="1" si="0"/>
        <v>46234</v>
      </c>
      <c r="E4">
        <f>YEAR(Table1[[#This Row],[Joining Date]])</f>
        <v>2021</v>
      </c>
      <c r="F4">
        <f>MONTH(Table1[[#This Row],[Joining Date]])</f>
        <v>8</v>
      </c>
      <c r="G4" t="e">
        <f>DATEDIF(Table1[[#This Row],[Joining Date]],Table1[[#This Row],[Resignation Date]],"y")</f>
        <v>#NUM!</v>
      </c>
      <c r="H4" s="4">
        <f t="shared" ca="1" si="1"/>
        <v>46234.436918865744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7835-74D6-46D6-8741-9E850EA09E6A}">
  <dimension ref="A1:U23"/>
  <sheetViews>
    <sheetView tabSelected="1" topLeftCell="A8" workbookViewId="0">
      <selection activeCell="I18" sqref="I18"/>
    </sheetView>
  </sheetViews>
  <sheetFormatPr defaultRowHeight="14.4" x14ac:dyDescent="0.3"/>
  <cols>
    <col min="3" max="3" width="11.5546875" bestFit="1" customWidth="1"/>
    <col min="8" max="8" width="11.5546875" bestFit="1" customWidth="1"/>
    <col min="9" max="9" width="10.77734375" bestFit="1" customWidth="1"/>
  </cols>
  <sheetData>
    <row r="1" spans="1:9" x14ac:dyDescent="0.3">
      <c r="A1" t="s">
        <v>38</v>
      </c>
      <c r="B1" t="s">
        <v>39</v>
      </c>
      <c r="C1" t="s">
        <v>40</v>
      </c>
      <c r="D1" t="s">
        <v>47</v>
      </c>
      <c r="G1" t="s">
        <v>23</v>
      </c>
      <c r="H1" t="s">
        <v>49</v>
      </c>
    </row>
    <row r="2" spans="1:9" x14ac:dyDescent="0.3">
      <c r="A2">
        <v>101</v>
      </c>
      <c r="B2" t="s">
        <v>41</v>
      </c>
      <c r="C2" t="s">
        <v>44</v>
      </c>
      <c r="D2">
        <v>5000</v>
      </c>
      <c r="H2" t="s">
        <v>48</v>
      </c>
      <c r="I2" t="s">
        <v>47</v>
      </c>
    </row>
    <row r="3" spans="1:9" x14ac:dyDescent="0.3">
      <c r="A3">
        <v>102</v>
      </c>
      <c r="B3" t="s">
        <v>42</v>
      </c>
      <c r="C3" t="s">
        <v>45</v>
      </c>
      <c r="D3">
        <v>3000</v>
      </c>
      <c r="H3" t="s">
        <v>44</v>
      </c>
      <c r="I3">
        <f>VLOOKUP(H3,C1:D4,2,FALSE)</f>
        <v>5000</v>
      </c>
    </row>
    <row r="4" spans="1:9" x14ac:dyDescent="0.3">
      <c r="A4">
        <v>103</v>
      </c>
      <c r="B4" t="s">
        <v>43</v>
      </c>
      <c r="C4" t="s">
        <v>46</v>
      </c>
      <c r="D4">
        <v>4000</v>
      </c>
      <c r="H4" t="s">
        <v>45</v>
      </c>
      <c r="I4">
        <f t="shared" ref="I4:I5" si="0">VLOOKUP(H4,C2:D5,2,FALSE)</f>
        <v>3000</v>
      </c>
    </row>
    <row r="5" spans="1:9" x14ac:dyDescent="0.3">
      <c r="H5" t="s">
        <v>46</v>
      </c>
      <c r="I5">
        <f t="shared" si="0"/>
        <v>4000</v>
      </c>
    </row>
    <row r="9" spans="1:9" x14ac:dyDescent="0.3">
      <c r="A9" t="s">
        <v>38</v>
      </c>
      <c r="B9" t="s">
        <v>39</v>
      </c>
      <c r="C9" t="s">
        <v>40</v>
      </c>
      <c r="D9" t="s">
        <v>47</v>
      </c>
      <c r="H9" t="s">
        <v>50</v>
      </c>
    </row>
    <row r="10" spans="1:9" x14ac:dyDescent="0.3">
      <c r="A10">
        <v>101</v>
      </c>
      <c r="B10" t="s">
        <v>41</v>
      </c>
      <c r="C10" t="s">
        <v>44</v>
      </c>
      <c r="D10">
        <v>5000</v>
      </c>
      <c r="G10" t="s">
        <v>24</v>
      </c>
      <c r="H10" t="s">
        <v>38</v>
      </c>
      <c r="I10" t="s">
        <v>48</v>
      </c>
    </row>
    <row r="11" spans="1:9" x14ac:dyDescent="0.3">
      <c r="A11">
        <v>102</v>
      </c>
      <c r="B11" t="s">
        <v>42</v>
      </c>
      <c r="C11" t="s">
        <v>45</v>
      </c>
      <c r="D11">
        <v>3000</v>
      </c>
      <c r="H11">
        <v>101</v>
      </c>
      <c r="I11" t="str">
        <f>_xlfn.XLOOKUP(H11,A10:A12,C10:C12)</f>
        <v>IT</v>
      </c>
    </row>
    <row r="12" spans="1:9" x14ac:dyDescent="0.3">
      <c r="A12">
        <v>103</v>
      </c>
      <c r="B12" t="s">
        <v>43</v>
      </c>
      <c r="C12" t="s">
        <v>46</v>
      </c>
      <c r="D12">
        <v>4000</v>
      </c>
      <c r="H12">
        <v>102</v>
      </c>
      <c r="I12" t="str">
        <f t="shared" ref="I12:I13" si="1">_xlfn.XLOOKUP(H12,A11:A13,C11:C13)</f>
        <v>HR</v>
      </c>
    </row>
    <row r="13" spans="1:9" x14ac:dyDescent="0.3">
      <c r="H13">
        <v>103</v>
      </c>
      <c r="I13" t="str">
        <f t="shared" si="1"/>
        <v>Finance</v>
      </c>
    </row>
    <row r="16" spans="1:9" x14ac:dyDescent="0.3">
      <c r="G16" t="s">
        <v>25</v>
      </c>
      <c r="H16" t="s">
        <v>51</v>
      </c>
    </row>
    <row r="17" spans="1:21" x14ac:dyDescent="0.3">
      <c r="A17" t="s">
        <v>38</v>
      </c>
      <c r="B17" t="s">
        <v>39</v>
      </c>
      <c r="C17" t="s">
        <v>40</v>
      </c>
      <c r="D17" t="s">
        <v>47</v>
      </c>
      <c r="H17" t="s">
        <v>38</v>
      </c>
      <c r="I17" t="s">
        <v>39</v>
      </c>
    </row>
    <row r="18" spans="1:21" x14ac:dyDescent="0.3">
      <c r="A18">
        <v>101</v>
      </c>
      <c r="B18" t="s">
        <v>41</v>
      </c>
      <c r="C18" t="s">
        <v>44</v>
      </c>
      <c r="D18">
        <v>5000</v>
      </c>
      <c r="H18">
        <v>101</v>
      </c>
      <c r="I18" t="str">
        <f>INDEX(C18:C20,MATCH(A18,A18:A20,0))</f>
        <v>IT</v>
      </c>
    </row>
    <row r="19" spans="1:21" x14ac:dyDescent="0.3">
      <c r="A19">
        <v>102</v>
      </c>
      <c r="B19" t="s">
        <v>42</v>
      </c>
      <c r="C19" t="s">
        <v>45</v>
      </c>
      <c r="D19">
        <v>3000</v>
      </c>
      <c r="H19">
        <v>102</v>
      </c>
      <c r="I19" t="str">
        <f>INDEX(C19:C22,MATCH(A19,A19:A22,0))</f>
        <v>HR</v>
      </c>
    </row>
    <row r="20" spans="1:21" x14ac:dyDescent="0.3">
      <c r="A20">
        <v>103</v>
      </c>
      <c r="B20" t="s">
        <v>43</v>
      </c>
      <c r="C20" t="s">
        <v>46</v>
      </c>
      <c r="D20">
        <v>4000</v>
      </c>
      <c r="H20">
        <v>103</v>
      </c>
      <c r="I20" t="str">
        <f>INDEX(C20:C23,MATCH(A20,A20:A23,0))</f>
        <v>Finance</v>
      </c>
    </row>
    <row r="22" spans="1:21" x14ac:dyDescent="0.3">
      <c r="G22" t="s">
        <v>26</v>
      </c>
      <c r="H22" s="10" t="s">
        <v>54</v>
      </c>
      <c r="I22" s="10"/>
      <c r="J22" s="10"/>
      <c r="K22" s="10"/>
      <c r="L22" s="10"/>
      <c r="M22" s="10"/>
      <c r="N22" s="10"/>
      <c r="O22" s="10"/>
      <c r="P22" s="10"/>
      <c r="Q22" s="10"/>
    </row>
    <row r="23" spans="1:21" x14ac:dyDescent="0.3">
      <c r="G23" t="s">
        <v>53</v>
      </c>
      <c r="H23" s="11" t="s">
        <v>52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</sheetData>
  <mergeCells count="2">
    <mergeCell ref="H22:Q22"/>
    <mergeCell ref="H23:U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5273-025D-4145-872A-CDF5D75BA9F0}">
  <dimension ref="A1:T9"/>
  <sheetViews>
    <sheetView workbookViewId="0">
      <selection activeCell="D10" sqref="D10"/>
    </sheetView>
  </sheetViews>
  <sheetFormatPr defaultRowHeight="14.4" x14ac:dyDescent="0.3"/>
  <cols>
    <col min="3" max="3" width="9.5546875" customWidth="1"/>
    <col min="6" max="6" width="12.5546875" bestFit="1" customWidth="1"/>
    <col min="7" max="7" width="11.6640625" bestFit="1" customWidth="1"/>
    <col min="9" max="9" width="12.5546875" bestFit="1" customWidth="1"/>
    <col min="10" max="10" width="11.6640625" bestFit="1" customWidth="1"/>
  </cols>
  <sheetData>
    <row r="1" spans="1:20" x14ac:dyDescent="0.3">
      <c r="A1" t="s">
        <v>55</v>
      </c>
      <c r="B1" t="s">
        <v>56</v>
      </c>
      <c r="C1" t="s">
        <v>57</v>
      </c>
      <c r="D1" t="s">
        <v>58</v>
      </c>
      <c r="E1" s="6" t="s">
        <v>63</v>
      </c>
      <c r="F1" t="s">
        <v>65</v>
      </c>
      <c r="G1" t="s">
        <v>24</v>
      </c>
      <c r="H1" s="6" t="s">
        <v>63</v>
      </c>
      <c r="I1" t="s">
        <v>65</v>
      </c>
    </row>
    <row r="2" spans="1:20" x14ac:dyDescent="0.3">
      <c r="A2" s="5">
        <v>46023</v>
      </c>
      <c r="B2" t="s">
        <v>59</v>
      </c>
      <c r="C2" t="s">
        <v>2</v>
      </c>
      <c r="D2">
        <v>1000</v>
      </c>
      <c r="E2" s="7" t="s">
        <v>61</v>
      </c>
      <c r="F2">
        <v>1800</v>
      </c>
      <c r="H2" s="7" t="s">
        <v>2</v>
      </c>
      <c r="I2">
        <v>4200</v>
      </c>
    </row>
    <row r="3" spans="1:20" x14ac:dyDescent="0.3">
      <c r="A3" s="5">
        <v>46024</v>
      </c>
      <c r="B3" t="s">
        <v>60</v>
      </c>
      <c r="C3" t="s">
        <v>3</v>
      </c>
      <c r="D3">
        <v>1500</v>
      </c>
      <c r="E3" s="7" t="s">
        <v>59</v>
      </c>
      <c r="F3">
        <v>3000</v>
      </c>
      <c r="H3" s="7" t="s">
        <v>3</v>
      </c>
      <c r="I3">
        <v>1500</v>
      </c>
    </row>
    <row r="4" spans="1:20" x14ac:dyDescent="0.3">
      <c r="A4" s="5">
        <v>46025</v>
      </c>
      <c r="B4" t="s">
        <v>59</v>
      </c>
      <c r="C4" t="s">
        <v>2</v>
      </c>
      <c r="D4">
        <v>2000</v>
      </c>
      <c r="E4" s="7" t="s">
        <v>60</v>
      </c>
      <c r="F4">
        <v>2700</v>
      </c>
      <c r="H4" s="7" t="s">
        <v>4</v>
      </c>
      <c r="I4">
        <v>1800</v>
      </c>
    </row>
    <row r="5" spans="1:20" x14ac:dyDescent="0.3">
      <c r="A5" s="5">
        <v>46026</v>
      </c>
      <c r="B5" t="s">
        <v>61</v>
      </c>
      <c r="C5" t="s">
        <v>4</v>
      </c>
      <c r="D5">
        <v>1800</v>
      </c>
      <c r="E5" s="7" t="s">
        <v>64</v>
      </c>
      <c r="F5">
        <v>7500</v>
      </c>
      <c r="H5" s="7" t="s">
        <v>64</v>
      </c>
      <c r="I5">
        <v>7500</v>
      </c>
    </row>
    <row r="6" spans="1:20" x14ac:dyDescent="0.3">
      <c r="A6" s="5">
        <v>46027</v>
      </c>
      <c r="B6" t="s">
        <v>62</v>
      </c>
      <c r="C6" t="s">
        <v>2</v>
      </c>
      <c r="D6">
        <v>1200</v>
      </c>
    </row>
    <row r="8" spans="1:20" x14ac:dyDescent="0.3">
      <c r="E8" t="s">
        <v>25</v>
      </c>
      <c r="J8" t="s">
        <v>26</v>
      </c>
      <c r="K8" t="s">
        <v>59</v>
      </c>
    </row>
    <row r="9" spans="1:20" x14ac:dyDescent="0.3">
      <c r="J9" t="s">
        <v>53</v>
      </c>
      <c r="K9" s="11" t="s">
        <v>66</v>
      </c>
      <c r="L9" s="11"/>
      <c r="M9" s="11"/>
      <c r="N9" s="11"/>
      <c r="O9" s="11"/>
      <c r="P9" s="11"/>
      <c r="Q9" s="11"/>
      <c r="R9" s="11"/>
      <c r="S9" s="11"/>
      <c r="T9" s="11"/>
    </row>
  </sheetData>
  <mergeCells count="1">
    <mergeCell ref="K9:T9"/>
  </mergeCells>
  <pageMargins left="0.7" right="0.7" top="0.75" bottom="0.75" header="0.3" footer="0.3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BAEA-89DD-4AF5-BBA6-008EC26E6EF3}">
  <dimension ref="A1:AB18"/>
  <sheetViews>
    <sheetView zoomScale="109" workbookViewId="0">
      <selection activeCell="K19" sqref="K19"/>
    </sheetView>
  </sheetViews>
  <sheetFormatPr defaultRowHeight="14.4" x14ac:dyDescent="0.3"/>
  <sheetData>
    <row r="1" spans="1:23" x14ac:dyDescent="0.3">
      <c r="A1" t="s">
        <v>35</v>
      </c>
      <c r="B1" t="s">
        <v>58</v>
      </c>
      <c r="D1" t="s">
        <v>23</v>
      </c>
      <c r="M1" t="s">
        <v>24</v>
      </c>
    </row>
    <row r="2" spans="1:23" x14ac:dyDescent="0.3">
      <c r="A2" t="s">
        <v>67</v>
      </c>
      <c r="B2">
        <v>10000</v>
      </c>
    </row>
    <row r="3" spans="1:23" x14ac:dyDescent="0.3">
      <c r="A3" t="s">
        <v>68</v>
      </c>
      <c r="B3">
        <v>12000</v>
      </c>
    </row>
    <row r="4" spans="1:23" x14ac:dyDescent="0.3">
      <c r="A4" t="s">
        <v>69</v>
      </c>
      <c r="B4">
        <v>15000</v>
      </c>
    </row>
    <row r="5" spans="1:23" x14ac:dyDescent="0.3">
      <c r="A5" t="s">
        <v>70</v>
      </c>
      <c r="B5">
        <v>13000</v>
      </c>
    </row>
    <row r="6" spans="1:23" x14ac:dyDescent="0.3">
      <c r="A6" t="s">
        <v>71</v>
      </c>
      <c r="B6">
        <v>17000</v>
      </c>
    </row>
    <row r="14" spans="1:23" x14ac:dyDescent="0.3">
      <c r="D14" t="s">
        <v>25</v>
      </c>
      <c r="N14" s="8" t="s">
        <v>72</v>
      </c>
      <c r="O14" s="9"/>
      <c r="P14" s="9"/>
      <c r="Q14" s="9"/>
      <c r="R14" s="9"/>
      <c r="S14" s="9"/>
      <c r="T14" s="9"/>
      <c r="U14" s="9"/>
      <c r="V14" s="9"/>
      <c r="W14" s="9"/>
    </row>
    <row r="15" spans="1:23" x14ac:dyDescent="0.3">
      <c r="M15" t="s">
        <v>26</v>
      </c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x14ac:dyDescent="0.3">
      <c r="N16" s="9"/>
      <c r="O16" s="9"/>
      <c r="P16" s="9"/>
      <c r="Q16" s="9"/>
      <c r="R16" s="9"/>
      <c r="S16" s="9"/>
      <c r="T16" s="9"/>
      <c r="U16" s="9"/>
      <c r="V16" s="9"/>
      <c r="W16" s="9"/>
    </row>
    <row r="18" spans="13:28" x14ac:dyDescent="0.3">
      <c r="M18" t="s">
        <v>53</v>
      </c>
      <c r="N18" s="9" t="s">
        <v>73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</sheetData>
  <mergeCells count="2">
    <mergeCell ref="N14:W16"/>
    <mergeCell ref="N18:AB18"/>
  </mergeCells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Descriptive summary</vt:lpstr>
      <vt:lpstr>Descriptive Statistics</vt:lpstr>
      <vt:lpstr>Date and Times Functions</vt:lpstr>
      <vt:lpstr>Lookups</vt:lpstr>
      <vt:lpstr>Pivot 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Eldho</dc:creator>
  <cp:lastModifiedBy>Dhiya Eldho</cp:lastModifiedBy>
  <dcterms:created xsi:type="dcterms:W3CDTF">2026-07-30T13:15:28Z</dcterms:created>
  <dcterms:modified xsi:type="dcterms:W3CDTF">2026-07-31T04:59:28Z</dcterms:modified>
</cp:coreProperties>
</file>