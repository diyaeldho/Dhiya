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ocuments/Data Analytics/"/>
    </mc:Choice>
  </mc:AlternateContent>
  <xr:revisionPtr revIDLastSave="0" documentId="8_{535B800F-BA0A-46AC-A94A-3FA74D521CB0}" xr6:coauthVersionLast="47" xr6:coauthVersionMax="47" xr10:uidLastSave="{00000000-0000-0000-0000-000000000000}"/>
  <bookViews>
    <workbookView xWindow="-108" yWindow="-108" windowWidth="23256" windowHeight="12456" activeTab="3" xr2:uid="{5C540241-CE66-4672-B74E-614CF1F062A6}"/>
  </bookViews>
  <sheets>
    <sheet name="Q1" sheetId="1" r:id="rId1"/>
    <sheet name="Q2" sheetId="2" r:id="rId2"/>
    <sheet name="Q4" sheetId="3" r:id="rId3"/>
    <sheet name="Q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C10" i="4"/>
  <c r="C9" i="4"/>
  <c r="D2" i="4"/>
  <c r="D3" i="4"/>
  <c r="D4" i="4"/>
  <c r="D5" i="4"/>
  <c r="D6" i="4"/>
  <c r="C8" i="4"/>
  <c r="B11" i="3"/>
  <c r="B10" i="3"/>
  <c r="B9" i="3"/>
  <c r="B8" i="3"/>
  <c r="B13" i="2"/>
  <c r="B12" i="2"/>
  <c r="B11" i="2"/>
  <c r="B10" i="2"/>
  <c r="B9" i="2"/>
</calcChain>
</file>

<file path=xl/sharedStrings.xml><?xml version="1.0" encoding="utf-8"?>
<sst xmlns="http://schemas.openxmlformats.org/spreadsheetml/2006/main" count="47" uniqueCount="44">
  <si>
    <t>Order ID        Customer Name        Product        Category        Sales        Feedback</t>
  </si>
  <si>
    <t>101        Ravi        Laptop        Electronics        50000        Good quality</t>
  </si>
  <si>
    <t>102        Meera        Shoes        Fashion        3000        Comfortable</t>
  </si>
  <si>
    <t>103        Arun        Phone        Electronics        20000        Excellent</t>
  </si>
  <si>
    <t>104        Diya        Watch        Fashion        2500        Nice design</t>
  </si>
  <si>
    <t>Q1. Identify the type of this dataset - Strucutred</t>
  </si>
  <si>
    <t>Q2. Type of data is the ""Feedback"" column? - Structured</t>
  </si>
  <si>
    <t xml:space="preserve">Q3. Stages of Data Analytics Lifecycle used to analyze this dataset- Data Collection, Data Cleaning, Data Explorationm and Analysis, Data Mocdel, Data Visualization </t>
  </si>
  <si>
    <t>Q4. Stage involves cleaning missing values- Data Cleaning</t>
  </si>
  <si>
    <t>Q5. Stage involves creating charts or reports - Data Visualization</t>
  </si>
  <si>
    <t>Marks</t>
  </si>
  <si>
    <t>MEAN</t>
  </si>
  <si>
    <t>MEADIAN</t>
  </si>
  <si>
    <t>MODE</t>
  </si>
  <si>
    <t>VARIACE</t>
  </si>
  <si>
    <t>SD</t>
  </si>
  <si>
    <t>SPREAD OF DATA</t>
  </si>
  <si>
    <t>VARIANCE</t>
  </si>
  <si>
    <t>SUM</t>
  </si>
  <si>
    <t>MONTH</t>
  </si>
  <si>
    <t>SALES</t>
  </si>
  <si>
    <t>JAN</t>
  </si>
  <si>
    <t>FEB</t>
  </si>
  <si>
    <t>MAR</t>
  </si>
  <si>
    <t>APR</t>
  </si>
  <si>
    <t>MAY</t>
  </si>
  <si>
    <t>MIN SALES</t>
  </si>
  <si>
    <t>MAX SALES</t>
  </si>
  <si>
    <t>NO: OF MONTHS</t>
  </si>
  <si>
    <t>Name</t>
  </si>
  <si>
    <t>Anu</t>
  </si>
  <si>
    <t>Rahul</t>
  </si>
  <si>
    <t>Sneha</t>
  </si>
  <si>
    <t>Arjun</t>
  </si>
  <si>
    <t>Meena</t>
  </si>
  <si>
    <t>Department</t>
  </si>
  <si>
    <t>Science</t>
  </si>
  <si>
    <t>Commerce</t>
  </si>
  <si>
    <t>Coomerce</t>
  </si>
  <si>
    <t>Average Mark</t>
  </si>
  <si>
    <t>Pass/fail</t>
  </si>
  <si>
    <t>Student scored &gt;60</t>
  </si>
  <si>
    <t>Total marks of Science Students</t>
  </si>
  <si>
    <t>Average Marks of Commerce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</si>
</sst>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.6"/>
      <color rgb="FF212529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5DEA4A-8285-4D99-BA18-B48A0581E5B3}" name="Table2" displayName="Table2" ref="A1:B6" totalsRowShown="0">
  <autoFilter ref="A1:B6" xr:uid="{375DEA4A-8285-4D99-BA18-B48A0581E5B3}"/>
  <tableColumns count="2">
    <tableColumn id="1" xr3:uid="{FEA87B39-027F-4C14-9EDC-0B6F4C31FECE}" name="MONTH"/>
    <tableColumn id="2" xr3:uid="{5276D18C-FEB6-4720-A767-6BD2245C960D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D914E-C4F4-43D2-8A94-816588E56C9A}" name="Table3" displayName="Table3" ref="A1:D6" totalsRowShown="0">
  <autoFilter ref="A1:D6" xr:uid="{ACBD914E-C4F4-43D2-8A94-816588E56C9A}"/>
  <tableColumns count="4">
    <tableColumn id="1" xr3:uid="{4CA956A6-ED4C-4ADA-B551-6DCEC1F7FDE5}" name="Name"/>
    <tableColumn id="2" xr3:uid="{AABD9296-5853-4B35-9BE9-E12801AE10D2}" name="Department"/>
    <tableColumn id="3" xr3:uid="{13CF5AF6-1E24-4BB1-B102-B3ED49F2CC99}" name="Marks"/>
    <tableColumn id="4" xr3:uid="{F636A753-31E9-4937-8D90-EC0214B3A45F}" name="Pass/fail" dataDxfId="0">
      <calculatedColumnFormula>IF(Table3[[#This Row],[Marks]]&gt;=50,"Pass","Fail")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82A1-1DE9-4D0D-8D78-74C7D562E54E}">
  <dimension ref="A1:O14"/>
  <sheetViews>
    <sheetView workbookViewId="0">
      <selection activeCell="A14" sqref="A14:J14"/>
    </sheetView>
  </sheetViews>
  <sheetFormatPr defaultRowHeight="14.4" x14ac:dyDescent="0.3"/>
  <cols>
    <col min="2" max="2" width="16.21875" customWidth="1"/>
  </cols>
  <sheetData>
    <row r="1" spans="1:15" x14ac:dyDescent="0.3">
      <c r="A1" s="1" t="s">
        <v>0</v>
      </c>
    </row>
    <row r="2" spans="1:15" x14ac:dyDescent="0.3">
      <c r="A2" s="1" t="s">
        <v>1</v>
      </c>
    </row>
    <row r="3" spans="1:15" x14ac:dyDescent="0.3">
      <c r="A3" s="1" t="s">
        <v>2</v>
      </c>
    </row>
    <row r="4" spans="1:15" x14ac:dyDescent="0.3">
      <c r="A4" s="1" t="s">
        <v>3</v>
      </c>
    </row>
    <row r="5" spans="1:15" x14ac:dyDescent="0.3">
      <c r="A5" s="1" t="s">
        <v>4</v>
      </c>
    </row>
    <row r="10" spans="1:15" x14ac:dyDescent="0.3">
      <c r="A10" s="2" t="s">
        <v>5</v>
      </c>
      <c r="B10" s="2"/>
      <c r="C10" s="2"/>
      <c r="D10" s="2"/>
      <c r="E10" s="2"/>
      <c r="F10" s="2"/>
      <c r="G10" s="2"/>
      <c r="H10" s="2"/>
      <c r="I10" s="2"/>
    </row>
    <row r="11" spans="1:15" x14ac:dyDescent="0.3">
      <c r="A11" s="3" t="s">
        <v>6</v>
      </c>
      <c r="B11" s="3"/>
      <c r="C11" s="3"/>
      <c r="D11" s="3"/>
      <c r="E11" s="3"/>
      <c r="F11" s="3"/>
      <c r="G11" s="3"/>
      <c r="H11" s="3"/>
      <c r="I11" s="3"/>
    </row>
    <row r="12" spans="1:15" x14ac:dyDescent="0.3">
      <c r="A12" s="3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A13" s="3" t="s">
        <v>8</v>
      </c>
      <c r="B13" s="3"/>
      <c r="C13" s="3"/>
      <c r="D13" s="3"/>
      <c r="E13" s="3"/>
      <c r="F13" s="3"/>
      <c r="G13" s="3"/>
      <c r="H13" s="3"/>
      <c r="I13" s="3"/>
    </row>
    <row r="14" spans="1:15" x14ac:dyDescent="0.3">
      <c r="A14" s="3" t="s">
        <v>9</v>
      </c>
      <c r="B14" s="3"/>
      <c r="C14" s="3"/>
      <c r="D14" s="3"/>
      <c r="E14" s="3"/>
      <c r="F14" s="3"/>
      <c r="G14" s="3"/>
      <c r="H14" s="3"/>
      <c r="I14" s="3"/>
      <c r="J14" s="3"/>
    </row>
  </sheetData>
  <mergeCells count="5">
    <mergeCell ref="A10:I10"/>
    <mergeCell ref="A11:I11"/>
    <mergeCell ref="A13:I13"/>
    <mergeCell ref="A14:J14"/>
    <mergeCell ref="A12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DE0A-AF6F-43C3-A661-E27EF96D2B13}">
  <dimension ref="A1:B14"/>
  <sheetViews>
    <sheetView zoomScale="102" workbookViewId="0">
      <selection activeCell="E11" sqref="E11"/>
    </sheetView>
  </sheetViews>
  <sheetFormatPr defaultRowHeight="14.4" x14ac:dyDescent="0.3"/>
  <cols>
    <col min="1" max="1" width="17.21875" customWidth="1"/>
    <col min="2" max="2" width="13" bestFit="1" customWidth="1"/>
  </cols>
  <sheetData>
    <row r="1" spans="1:2" x14ac:dyDescent="0.3">
      <c r="A1" s="1" t="s">
        <v>10</v>
      </c>
    </row>
    <row r="2" spans="1:2" x14ac:dyDescent="0.3">
      <c r="A2" s="1">
        <v>45</v>
      </c>
    </row>
    <row r="3" spans="1:2" x14ac:dyDescent="0.3">
      <c r="A3" s="1">
        <v>60</v>
      </c>
    </row>
    <row r="4" spans="1:2" x14ac:dyDescent="0.3">
      <c r="A4" s="1">
        <v>75</v>
      </c>
    </row>
    <row r="5" spans="1:2" x14ac:dyDescent="0.3">
      <c r="A5" s="1">
        <v>60</v>
      </c>
    </row>
    <row r="6" spans="1:2" x14ac:dyDescent="0.3">
      <c r="A6" s="1">
        <v>90</v>
      </c>
    </row>
    <row r="7" spans="1:2" x14ac:dyDescent="0.3">
      <c r="A7" s="1">
        <v>30</v>
      </c>
    </row>
    <row r="9" spans="1:2" x14ac:dyDescent="0.3">
      <c r="A9" t="s">
        <v>11</v>
      </c>
      <c r="B9">
        <f>AVERAGE(A2:A7)</f>
        <v>60</v>
      </c>
    </row>
    <row r="10" spans="1:2" x14ac:dyDescent="0.3">
      <c r="A10" t="s">
        <v>12</v>
      </c>
      <c r="B10">
        <f>MEDIAN(A2:A7)</f>
        <v>60</v>
      </c>
    </row>
    <row r="11" spans="1:2" x14ac:dyDescent="0.3">
      <c r="A11" t="s">
        <v>13</v>
      </c>
      <c r="B11">
        <f>MODE(A2:A7)</f>
        <v>60</v>
      </c>
    </row>
    <row r="12" spans="1:2" x14ac:dyDescent="0.3">
      <c r="A12" t="s">
        <v>14</v>
      </c>
      <c r="B12">
        <f>_xlfn.VAR.S(A2:A7)</f>
        <v>450</v>
      </c>
    </row>
    <row r="13" spans="1:2" x14ac:dyDescent="0.3">
      <c r="A13" t="s">
        <v>15</v>
      </c>
      <c r="B13">
        <f>_xlfn.STDEV.S(A2:A7)</f>
        <v>21.213203435596427</v>
      </c>
    </row>
    <row r="14" spans="1:2" x14ac:dyDescent="0.3">
      <c r="A14" t="s">
        <v>16</v>
      </c>
      <c r="B1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9328-D25B-4853-AA81-D91C5137E04B}">
  <dimension ref="A1:B11"/>
  <sheetViews>
    <sheetView workbookViewId="0">
      <selection activeCell="B12" sqref="B12"/>
    </sheetView>
  </sheetViews>
  <sheetFormatPr defaultRowHeight="14.4" x14ac:dyDescent="0.3"/>
  <cols>
    <col min="1" max="1" width="16.3320312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>
        <v>10000</v>
      </c>
    </row>
    <row r="3" spans="1:2" x14ac:dyDescent="0.3">
      <c r="A3" t="s">
        <v>22</v>
      </c>
      <c r="B3">
        <v>15000</v>
      </c>
    </row>
    <row r="4" spans="1:2" x14ac:dyDescent="0.3">
      <c r="A4" t="s">
        <v>23</v>
      </c>
      <c r="B4">
        <v>12000</v>
      </c>
    </row>
    <row r="5" spans="1:2" x14ac:dyDescent="0.3">
      <c r="A5" t="s">
        <v>24</v>
      </c>
      <c r="B5">
        <v>18000</v>
      </c>
    </row>
    <row r="6" spans="1:2" x14ac:dyDescent="0.3">
      <c r="A6" t="s">
        <v>25</v>
      </c>
      <c r="B6">
        <v>16000</v>
      </c>
    </row>
    <row r="8" spans="1:2" x14ac:dyDescent="0.3">
      <c r="A8" t="s">
        <v>18</v>
      </c>
      <c r="B8">
        <f>SUM(Table2[SALES])</f>
        <v>71000</v>
      </c>
    </row>
    <row r="9" spans="1:2" x14ac:dyDescent="0.3">
      <c r="A9" t="s">
        <v>26</v>
      </c>
      <c r="B9">
        <f>MIN(Table2[SALES])</f>
        <v>10000</v>
      </c>
    </row>
    <row r="10" spans="1:2" x14ac:dyDescent="0.3">
      <c r="A10" t="s">
        <v>27</v>
      </c>
      <c r="B10">
        <f>MAX(Table2[SALES])</f>
        <v>18000</v>
      </c>
    </row>
    <row r="11" spans="1:2" x14ac:dyDescent="0.3">
      <c r="A11" t="s">
        <v>28</v>
      </c>
      <c r="B11">
        <f>COUNT(B2:B7)</f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2522-0589-4A6C-A8A2-38BC3F64D3A6}">
  <dimension ref="A1:D11"/>
  <sheetViews>
    <sheetView tabSelected="1" workbookViewId="0">
      <selection activeCell="B13" sqref="B13"/>
    </sheetView>
  </sheetViews>
  <sheetFormatPr defaultRowHeight="14.4" x14ac:dyDescent="0.3"/>
  <cols>
    <col min="2" max="2" width="23.6640625" customWidth="1"/>
  </cols>
  <sheetData>
    <row r="1" spans="1:4" x14ac:dyDescent="0.3">
      <c r="A1" t="s">
        <v>29</v>
      </c>
      <c r="B1" t="s">
        <v>35</v>
      </c>
      <c r="C1" t="s">
        <v>10</v>
      </c>
      <c r="D1" t="s">
        <v>40</v>
      </c>
    </row>
    <row r="2" spans="1:4" x14ac:dyDescent="0.3">
      <c r="A2" t="s">
        <v>30</v>
      </c>
      <c r="B2" t="s">
        <v>36</v>
      </c>
      <c r="C2">
        <v>85</v>
      </c>
      <c r="D2" t="str">
        <f>IF(Table3[[#This Row],[Marks]]&gt;=50,"Pass","Fail")</f>
        <v>Pass</v>
      </c>
    </row>
    <row r="3" spans="1:4" x14ac:dyDescent="0.3">
      <c r="A3" t="s">
        <v>31</v>
      </c>
      <c r="B3" t="s">
        <v>37</v>
      </c>
      <c r="C3">
        <v>55</v>
      </c>
      <c r="D3" t="str">
        <f>IF(Table3[[#This Row],[Marks]]&gt;=50,"Pass","Fail")</f>
        <v>Pass</v>
      </c>
    </row>
    <row r="4" spans="1:4" x14ac:dyDescent="0.3">
      <c r="A4" t="s">
        <v>32</v>
      </c>
      <c r="B4" t="s">
        <v>36</v>
      </c>
      <c r="C4">
        <v>40</v>
      </c>
      <c r="D4" t="str">
        <f>IF(Table3[[#This Row],[Marks]]&gt;=50,"Pass","Fail")</f>
        <v>Fail</v>
      </c>
    </row>
    <row r="5" spans="1:4" x14ac:dyDescent="0.3">
      <c r="A5" t="s">
        <v>33</v>
      </c>
      <c r="B5" t="s">
        <v>38</v>
      </c>
      <c r="C5">
        <v>70</v>
      </c>
      <c r="D5" t="str">
        <f>IF(Table3[[#This Row],[Marks]]&gt;=50,"Pass","Fail")</f>
        <v>Pass</v>
      </c>
    </row>
    <row r="6" spans="1:4" x14ac:dyDescent="0.3">
      <c r="A6" t="s">
        <v>34</v>
      </c>
      <c r="B6" t="s">
        <v>36</v>
      </c>
      <c r="C6">
        <v>90</v>
      </c>
      <c r="D6" t="str">
        <f>IF(Table3[[#This Row],[Marks]]&gt;=50,"Pass","Fail")</f>
        <v>Pass</v>
      </c>
    </row>
    <row r="8" spans="1:4" x14ac:dyDescent="0.3">
      <c r="A8" t="s">
        <v>39</v>
      </c>
      <c r="C8">
        <f>AVERAGE(Table3[Marks])</f>
        <v>68</v>
      </c>
    </row>
    <row r="9" spans="1:4" x14ac:dyDescent="0.3">
      <c r="A9" s="3" t="s">
        <v>41</v>
      </c>
      <c r="B9" s="3"/>
      <c r="C9">
        <f>COUNTIF(Table3[Marks],"&gt;60")</f>
        <v>3</v>
      </c>
    </row>
    <row r="10" spans="1:4" x14ac:dyDescent="0.3">
      <c r="A10" s="3" t="s">
        <v>42</v>
      </c>
      <c r="B10" s="3"/>
      <c r="C10">
        <f>SUMIF(Table3[Department],B2,Table3[Marks])</f>
        <v>215</v>
      </c>
    </row>
    <row r="11" spans="1:4" x14ac:dyDescent="0.3">
      <c r="A11" s="3" t="s">
        <v>43</v>
      </c>
      <c r="B11" s="3"/>
      <c r="C11">
        <f>AVERAGEIF(Table3[Department],B3,Table3[Marks])</f>
        <v>55</v>
      </c>
    </row>
  </sheetData>
  <mergeCells count="3">
    <mergeCell ref="A9:B9"/>
    <mergeCell ref="A10:B10"/>
    <mergeCell ref="A11:B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2026-07-15T12:53:07Z</dcterms:created>
  <dcterms:modified xsi:type="dcterms:W3CDTF">2026-07-15T13:44:03Z</dcterms:modified>
</cp:coreProperties>
</file>