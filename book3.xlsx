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cf57c0096bfaaf/Documents/Data Analytics/"/>
    </mc:Choice>
  </mc:AlternateContent>
  <xr:revisionPtr revIDLastSave="20" documentId="8_{CA8DEA48-624F-4271-85F2-C68BE2EBE920}" xr6:coauthVersionLast="47" xr6:coauthVersionMax="47" xr10:uidLastSave="{94FE5E7C-D0B4-499C-B87F-4BC916FCF390}"/>
  <bookViews>
    <workbookView xWindow="-108" yWindow="-108" windowWidth="23256" windowHeight="12456" activeTab="3" xr2:uid="{0CABEA8D-0FA1-4F7D-80BC-05FBCE9248CA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ExternalData_1" localSheetId="2" hidden="1">Sheet3!$A$1:$F$8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G3" i="2"/>
  <c r="G4" i="2"/>
  <c r="G5" i="2"/>
  <c r="G6" i="2"/>
  <c r="G2" i="2"/>
  <c r="A3" i="2"/>
  <c r="A4" i="2"/>
  <c r="E4" i="2" s="1"/>
  <c r="A5" i="2"/>
  <c r="E5" i="2" s="1"/>
  <c r="A6" i="2"/>
  <c r="E6" i="2" s="1"/>
  <c r="D7" i="1"/>
  <c r="E7" i="1"/>
  <c r="F7" i="1"/>
  <c r="G7" i="1"/>
  <c r="H7" i="1"/>
  <c r="I7" i="1"/>
  <c r="F3" i="2"/>
  <c r="F4" i="2"/>
  <c r="F5" i="2"/>
  <c r="F6" i="2"/>
  <c r="F2" i="2"/>
  <c r="E3" i="2"/>
  <c r="E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A2" i="2"/>
  <c r="I2" i="1"/>
  <c r="I3" i="1"/>
  <c r="I4" i="1"/>
  <c r="I5" i="1"/>
  <c r="I6" i="1"/>
  <c r="H2" i="1"/>
  <c r="H3" i="1"/>
  <c r="H4" i="1"/>
  <c r="H5" i="1"/>
  <c r="H6" i="1"/>
  <c r="G2" i="1"/>
  <c r="G3" i="1"/>
  <c r="G4" i="1"/>
  <c r="G5" i="1"/>
  <c r="G6" i="1"/>
  <c r="F2" i="1"/>
  <c r="F3" i="1"/>
  <c r="F4" i="1"/>
  <c r="F5" i="1"/>
  <c r="F6" i="1"/>
  <c r="E2" i="1"/>
  <c r="E3" i="1"/>
  <c r="E4" i="1"/>
  <c r="E5" i="1"/>
  <c r="E6" i="1"/>
  <c r="D2" i="1"/>
  <c r="D3" i="1"/>
  <c r="D4" i="1"/>
  <c r="D5" i="1"/>
  <c r="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F9164F-E38C-413E-817D-9CA9B01A3F3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F79F7B7E-63CC-4822-B1A1-8A07130BDBE2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<sst xmlns="http://schemas.openxmlformats.org/spreadsheetml/2006/main" count="71" uniqueCount="63">
  <si>
    <t>Full Name</t>
  </si>
  <si>
    <t>City</t>
  </si>
  <si>
    <t>Phone no:</t>
  </si>
  <si>
    <t>Ernakulam</t>
  </si>
  <si>
    <t>Kozhikode</t>
  </si>
  <si>
    <t>Kollam</t>
  </si>
  <si>
    <t>Thrissur</t>
  </si>
  <si>
    <t>Trivandrum</t>
  </si>
  <si>
    <t>Left</t>
  </si>
  <si>
    <t>Right</t>
  </si>
  <si>
    <t>Middle</t>
  </si>
  <si>
    <t>Lower</t>
  </si>
  <si>
    <t>Upper</t>
  </si>
  <si>
    <t>Proper</t>
  </si>
  <si>
    <t>First Name</t>
  </si>
  <si>
    <t>Last Name</t>
  </si>
  <si>
    <t>City Code</t>
  </si>
  <si>
    <t>Phone No:</t>
  </si>
  <si>
    <t>User Name</t>
  </si>
  <si>
    <t>Password</t>
  </si>
  <si>
    <t>Akshay P</t>
  </si>
  <si>
    <t>Salpha M</t>
  </si>
  <si>
    <t>Keerthy M</t>
  </si>
  <si>
    <t>Rithu M</t>
  </si>
  <si>
    <t>Sooraj S</t>
  </si>
  <si>
    <t>Gokul Nath</t>
  </si>
  <si>
    <t>Palakad</t>
  </si>
  <si>
    <t>concat</t>
  </si>
  <si>
    <t>Phone no</t>
  </si>
  <si>
    <t>city code</t>
  </si>
  <si>
    <t>Akshay</t>
  </si>
  <si>
    <t>P</t>
  </si>
  <si>
    <t>Ern</t>
  </si>
  <si>
    <t>Akshay_P</t>
  </si>
  <si>
    <t>Akshay8542</t>
  </si>
  <si>
    <t>Salpha</t>
  </si>
  <si>
    <t>M</t>
  </si>
  <si>
    <t>Koz</t>
  </si>
  <si>
    <t>Salpha_M</t>
  </si>
  <si>
    <t>Salpha7985</t>
  </si>
  <si>
    <t>Keerthy</t>
  </si>
  <si>
    <t>Kol</t>
  </si>
  <si>
    <t>Keerthy_M</t>
  </si>
  <si>
    <t>Keerthy8511</t>
  </si>
  <si>
    <t>Rithu</t>
  </si>
  <si>
    <t>Thr</t>
  </si>
  <si>
    <t>Rithu_M</t>
  </si>
  <si>
    <t>Rithu5697</t>
  </si>
  <si>
    <t>Sooraj</t>
  </si>
  <si>
    <t>S</t>
  </si>
  <si>
    <t>Tri</t>
  </si>
  <si>
    <t>Sooraj_S</t>
  </si>
  <si>
    <t>Sooraj4478</t>
  </si>
  <si>
    <t>Gokul</t>
  </si>
  <si>
    <t>Nath</t>
  </si>
  <si>
    <t>Pal</t>
  </si>
  <si>
    <t>Gokul_Nath</t>
  </si>
  <si>
    <t>Gokul7486</t>
  </si>
  <si>
    <t>Afin</t>
  </si>
  <si>
    <t>Afin joy</t>
  </si>
  <si>
    <t>joy</t>
  </si>
  <si>
    <t>Afin_joy</t>
  </si>
  <si>
    <t>Afin7448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</si>
</sst>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3" borderId="2" xfId="0" applyFont="1" applyFill="1" applyBorder="1"/>
    <xf numFmtId="0" fontId="0" fillId="2" borderId="2" xfId="0" applyFill="1" applyBorder="1"/>
    <xf numFmtId="0" fontId="1" fillId="3" borderId="0" xfId="0" applyFont="1" applyFill="1"/>
    <xf numFmtId="0" fontId="0" fillId="0" borderId="0" xfId="0" applyNumberFormat="1"/>
  </cellXfs>
  <cellStyles count="1">
    <cellStyle name="Normal" xfId="0" builtinId="0"/>
  </cellStyles>
  <dxfs count="1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F36A25-C2A3-418B-84FB-394AE8555BB2}" autoFormatId="16" applyNumberFormats="0" applyBorderFormats="0" applyFontFormats="0" applyPatternFormats="0" applyAlignmentFormats="0" applyWidthHeightFormats="0">
  <queryTableRefresh nextId="7">
    <queryTableFields count="6">
      <queryTableField id="1" name="First Name" tableColumnId="1"/>
      <queryTableField id="2" name="Last Name" tableColumnId="2"/>
      <queryTableField id="3" name="Phone no" tableColumnId="3"/>
      <queryTableField id="4" name="city code" tableColumnId="4"/>
      <queryTableField id="5" name="User Name" tableColumnId="5"/>
      <queryTableField id="6" name="Password" tableColumnId="6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D4A26-693D-4041-B32C-45C3689403D4}" name="Table1" displayName="Table1" ref="A1:I8" totalsRowShown="0">
  <autoFilter ref="A1:I8" xr:uid="{613D4A26-693D-4041-B32C-45C3689403D4}"/>
  <tableColumns count="9">
    <tableColumn id="1" xr3:uid="{1EE2EFB1-E68F-423A-AD3C-86880B5376AB}" name="Full Name"/>
    <tableColumn id="2" xr3:uid="{0CB116B5-3F0C-4091-81FA-4FB5BC465080}" name="City"/>
    <tableColumn id="3" xr3:uid="{9B73218E-37B6-48E0-9E0C-FCBA2D9081F1}" name="Phone no:"/>
    <tableColumn id="4" xr3:uid="{391E17C9-90B3-497E-B1A7-96E351876424}" name="Left" dataDxfId="17">
      <calculatedColumnFormula>LEFT(Table1[[#This Row],[Full Name]],3)</calculatedColumnFormula>
    </tableColumn>
    <tableColumn id="5" xr3:uid="{B2801F9B-8765-43AC-8A47-06DDD8D804F3}" name="Right" dataDxfId="16">
      <calculatedColumnFormula>RIGHT(Table1[[#This Row],[Full Name]],3)</calculatedColumnFormula>
    </tableColumn>
    <tableColumn id="6" xr3:uid="{76538558-551E-4040-9CDF-B9BF5CDECAD3}" name="Middle" dataDxfId="15">
      <calculatedColumnFormula>MID(Table1[[#This Row],[Full Name]],2,4)</calculatedColumnFormula>
    </tableColumn>
    <tableColumn id="7" xr3:uid="{D875D567-DF0E-493E-8768-8F0417ECF37B}" name="Lower" dataDxfId="14">
      <calculatedColumnFormula>LOWER(Table1[[#This Row],[City]])</calculatedColumnFormula>
    </tableColumn>
    <tableColumn id="8" xr3:uid="{EC565777-96C6-4D11-8DA4-CE1BD2D9CA68}" name="Upper" dataDxfId="13">
      <calculatedColumnFormula>UPPER(Table1[[#This Row],[City]])</calculatedColumnFormula>
    </tableColumn>
    <tableColumn id="9" xr3:uid="{61536A8D-E319-4E51-9899-306D5DAE629F}" name="Proper" dataDxfId="12">
      <calculatedColumnFormula>PROPER(Table1[[#This Row],[City]])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4D7D3-BDDB-4210-8361-9076B8735501}" name="Table3" displayName="Table3" ref="A1:G6" totalsRowShown="0" headerRowDxfId="0" dataDxfId="1">
  <autoFilter ref="A1:G6" xr:uid="{EB74D7D3-BDDB-4210-8361-9076B8735501}"/>
  <tableColumns count="7">
    <tableColumn id="1" xr3:uid="{984B25BB-4A86-4070-B9F5-91A5F9CB0857}" name="First Name" dataDxfId="7">
      <calculatedColumnFormula>LEFT(Sheet1!A2,FIND(" ",Sheet1!A2)-1)</calculatedColumnFormula>
    </tableColumn>
    <tableColumn id="2" xr3:uid="{04953A6F-E8D2-47D1-A2BA-574045BC01F4}" name="Last Name" dataDxfId="6">
      <calculatedColumnFormula>RIGHT(Sheet1!A2,LEN(Sheet1!A2)-FIND(" ",Sheet1!A2))</calculatedColumnFormula>
    </tableColumn>
    <tableColumn id="3" xr3:uid="{237F5BC3-D0C8-4804-84BF-03F626DDE508}" name="City Code" dataDxfId="5">
      <calculatedColumnFormula>MID(Sheet1!B2,1,3)</calculatedColumnFormula>
    </tableColumn>
    <tableColumn id="4" xr3:uid="{0A8802E3-D59C-45DC-944C-527103C9888B}" name="Phone No:" dataDxfId="4">
      <calculatedColumnFormula>Sheet1!C2</calculatedColumnFormula>
    </tableColumn>
    <tableColumn id="5" xr3:uid="{9CE1C6BD-EB00-432F-A0A5-1AD4DD29E01F}" name="User Name" dataDxfId="3">
      <calculatedColumnFormula>A2&amp;"_"&amp;B2</calculatedColumnFormula>
    </tableColumn>
    <tableColumn id="6" xr3:uid="{37EF32C7-6942-4662-BBB2-A67CE2F465E2}" name="Password" dataDxfId="2">
      <calculatedColumnFormula>A2&amp;RIGHT(D2,4)</calculatedColumnFormula>
    </tableColumn>
    <tableColumn id="7" xr3:uid="{F53497ED-F7F9-45E9-95CC-B05CB79C1009}" name="concat">
      <calculatedColumnFormula>_xlfn.CONCAT(A2,RIGHT(D2,4))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9A7390-7FDF-48E1-B542-61BFEE0CC211}" name="Table1_1" displayName="Table1_1" ref="A1:F8" tableType="queryTable" totalsRowShown="0">
  <autoFilter ref="A1:F8" xr:uid="{0B9A7390-7FDF-48E1-B542-61BFEE0CC211}"/>
  <tableColumns count="6">
    <tableColumn id="1" xr3:uid="{4485C77B-BD0B-419D-886A-8F20CFC72266}" uniqueName="1" name="First Name" queryTableFieldId="1" dataDxfId="11"/>
    <tableColumn id="2" xr3:uid="{075BD0BD-C171-46C7-A470-A68D6DD6B0B6}" uniqueName="2" name="Last Name" queryTableFieldId="2" dataDxfId="10"/>
    <tableColumn id="3" xr3:uid="{9D9733C1-A481-4F50-A436-933606ACD492}" uniqueName="3" name="Phone no" queryTableFieldId="3"/>
    <tableColumn id="4" xr3:uid="{D011DDF7-6441-4C68-9944-CB0FD117098E}" uniqueName="4" name="city code" queryTableFieldId="4" dataDxfId="9"/>
    <tableColumn id="5" xr3:uid="{EEF75CB0-BDB1-451A-B6F9-A432A830C6C9}" uniqueName="5" name="User Name" queryTableFieldId="5" dataDxfId="8"/>
    <tableColumn id="6" xr3:uid="{34F6073D-DE95-4855-83F6-174A7EF69C44}" uniqueName="6" name="Passwor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76E42-F0E2-4DA8-B5E5-F6181A784AC4}">
  <dimension ref="A1:I8"/>
  <sheetViews>
    <sheetView workbookViewId="0">
      <selection activeCell="D10" sqref="D10"/>
    </sheetView>
  </sheetViews>
  <sheetFormatPr defaultRowHeight="14.4" x14ac:dyDescent="0.3"/>
  <cols>
    <col min="1" max="1" width="11.21875" customWidth="1"/>
    <col min="2" max="2" width="10.77734375" customWidth="1"/>
    <col min="3" max="3" width="11.5546875" customWidth="1"/>
    <col min="8" max="8" width="14.21875" customWidth="1"/>
    <col min="9" max="9" width="12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20</v>
      </c>
      <c r="B2" t="s">
        <v>3</v>
      </c>
      <c r="C2">
        <v>98542</v>
      </c>
      <c r="D2" t="str">
        <f>LEFT(Table1[[#This Row],[Full Name]],3)</f>
        <v>Aks</v>
      </c>
      <c r="E2" t="str">
        <f>RIGHT(Table1[[#This Row],[Full Name]],3)</f>
        <v>y P</v>
      </c>
      <c r="F2" t="str">
        <f>MID(Table1[[#This Row],[Full Name]],2,4)</f>
        <v>ksha</v>
      </c>
      <c r="G2" t="str">
        <f>LOWER(Table1[[#This Row],[City]])</f>
        <v>ernakulam</v>
      </c>
      <c r="H2" t="str">
        <f>UPPER(Table1[[#This Row],[City]])</f>
        <v>ERNAKULAM</v>
      </c>
      <c r="I2" t="str">
        <f>PROPER(Table1[[#This Row],[City]])</f>
        <v>Ernakulam</v>
      </c>
    </row>
    <row r="3" spans="1:9" x14ac:dyDescent="0.3">
      <c r="A3" t="s">
        <v>21</v>
      </c>
      <c r="B3" t="s">
        <v>4</v>
      </c>
      <c r="C3">
        <v>87985</v>
      </c>
      <c r="D3" t="str">
        <f>LEFT(Table1[[#This Row],[Full Name]],3)</f>
        <v>Sal</v>
      </c>
      <c r="E3" t="str">
        <f>RIGHT(Table1[[#This Row],[Full Name]],3)</f>
        <v>a M</v>
      </c>
      <c r="F3" t="str">
        <f>MID(Table1[[#This Row],[Full Name]],2,4)</f>
        <v>alph</v>
      </c>
      <c r="G3" t="str">
        <f>LOWER(Table1[[#This Row],[City]])</f>
        <v>kozhikode</v>
      </c>
      <c r="H3" t="str">
        <f>UPPER(Table1[[#This Row],[City]])</f>
        <v>KOZHIKODE</v>
      </c>
      <c r="I3" t="str">
        <f>PROPER(Table1[[#This Row],[City]])</f>
        <v>Kozhikode</v>
      </c>
    </row>
    <row r="4" spans="1:9" x14ac:dyDescent="0.3">
      <c r="A4" t="s">
        <v>22</v>
      </c>
      <c r="B4" t="s">
        <v>5</v>
      </c>
      <c r="C4">
        <v>68511</v>
      </c>
      <c r="D4" t="str">
        <f>LEFT(Table1[[#This Row],[Full Name]],3)</f>
        <v>Kee</v>
      </c>
      <c r="E4" t="str">
        <f>RIGHT(Table1[[#This Row],[Full Name]],3)</f>
        <v>y M</v>
      </c>
      <c r="F4" t="str">
        <f>MID(Table1[[#This Row],[Full Name]],2,4)</f>
        <v>eert</v>
      </c>
      <c r="G4" t="str">
        <f>LOWER(Table1[[#This Row],[City]])</f>
        <v>kollam</v>
      </c>
      <c r="H4" t="str">
        <f>UPPER(Table1[[#This Row],[City]])</f>
        <v>KOLLAM</v>
      </c>
      <c r="I4" t="str">
        <f>PROPER(Table1[[#This Row],[City]])</f>
        <v>Kollam</v>
      </c>
    </row>
    <row r="5" spans="1:9" x14ac:dyDescent="0.3">
      <c r="A5" t="s">
        <v>23</v>
      </c>
      <c r="B5" t="s">
        <v>6</v>
      </c>
      <c r="C5">
        <v>85697</v>
      </c>
      <c r="D5" t="str">
        <f>LEFT(Table1[[#This Row],[Full Name]],3)</f>
        <v>Rit</v>
      </c>
      <c r="E5" t="str">
        <f>RIGHT(Table1[[#This Row],[Full Name]],3)</f>
        <v>u M</v>
      </c>
      <c r="F5" t="str">
        <f>MID(Table1[[#This Row],[Full Name]],2,4)</f>
        <v>ithu</v>
      </c>
      <c r="G5" t="str">
        <f>LOWER(Table1[[#This Row],[City]])</f>
        <v>thrissur</v>
      </c>
      <c r="H5" t="str">
        <f>UPPER(Table1[[#This Row],[City]])</f>
        <v>THRISSUR</v>
      </c>
      <c r="I5" t="str">
        <f>PROPER(Table1[[#This Row],[City]])</f>
        <v>Thrissur</v>
      </c>
    </row>
    <row r="6" spans="1:9" x14ac:dyDescent="0.3">
      <c r="A6" t="s">
        <v>24</v>
      </c>
      <c r="B6" t="s">
        <v>7</v>
      </c>
      <c r="C6">
        <v>94478</v>
      </c>
      <c r="D6" t="str">
        <f>LEFT(Table1[[#This Row],[Full Name]],3)</f>
        <v>Soo</v>
      </c>
      <c r="E6" t="str">
        <f>RIGHT(Table1[[#This Row],[Full Name]],3)</f>
        <v>j S</v>
      </c>
      <c r="F6" t="str">
        <f>MID(Table1[[#This Row],[Full Name]],2,4)</f>
        <v>oora</v>
      </c>
      <c r="G6" t="str">
        <f>LOWER(Table1[[#This Row],[City]])</f>
        <v>trivandrum</v>
      </c>
      <c r="H6" t="str">
        <f>UPPER(Table1[[#This Row],[City]])</f>
        <v>TRIVANDRUM</v>
      </c>
      <c r="I6" t="str">
        <f>PROPER(Table1[[#This Row],[City]])</f>
        <v>Trivandrum</v>
      </c>
    </row>
    <row r="7" spans="1:9" x14ac:dyDescent="0.3">
      <c r="A7" t="s">
        <v>25</v>
      </c>
      <c r="B7" t="s">
        <v>26</v>
      </c>
      <c r="C7">
        <v>77486</v>
      </c>
      <c r="D7" t="str">
        <f>LEFT(Table1[[#This Row],[Full Name]],3)</f>
        <v>Gok</v>
      </c>
      <c r="E7" t="str">
        <f>RIGHT(Table1[[#This Row],[Full Name]],3)</f>
        <v>ath</v>
      </c>
      <c r="F7" t="str">
        <f>MID(Table1[[#This Row],[Full Name]],2,4)</f>
        <v>okul</v>
      </c>
      <c r="G7" t="str">
        <f>LOWER(Table1[[#This Row],[City]])</f>
        <v>palakad</v>
      </c>
      <c r="H7" t="str">
        <f>UPPER(Table1[[#This Row],[City]])</f>
        <v>PALAKAD</v>
      </c>
      <c r="I7" t="str">
        <f>PROPER(Table1[[#This Row],[City]])</f>
        <v>Palakad</v>
      </c>
    </row>
    <row r="8" spans="1:9" x14ac:dyDescent="0.3">
      <c r="A8" t="s">
        <v>59</v>
      </c>
      <c r="B8" t="s">
        <v>5</v>
      </c>
      <c r="C8">
        <v>77448</v>
      </c>
      <c r="D8" s="6" t="str">
        <f>LEFT(Table1[[#This Row],[Full Name]],3)</f>
        <v>Afi</v>
      </c>
      <c r="E8" s="6" t="str">
        <f>RIGHT(Table1[[#This Row],[Full Name]],3)</f>
        <v>joy</v>
      </c>
      <c r="F8" s="6" t="str">
        <f>MID(Table1[[#This Row],[Full Name]],2,4)</f>
        <v xml:space="preserve">fin </v>
      </c>
      <c r="G8" s="6" t="str">
        <f>LOWER(Table1[[#This Row],[City]])</f>
        <v>kollam</v>
      </c>
      <c r="H8" s="6" t="str">
        <f>UPPER(Table1[[#This Row],[City]])</f>
        <v>KOLLAM</v>
      </c>
      <c r="I8" s="6" t="str">
        <f>PROPER(Table1[[#This Row],[City]])</f>
        <v>Kollam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5AAB-E360-4DB0-8473-B0F4ED0CBA1F}">
  <dimension ref="A1:G6"/>
  <sheetViews>
    <sheetView zoomScale="130" zoomScaleNormal="130" workbookViewId="0">
      <selection sqref="A1:G6"/>
    </sheetView>
  </sheetViews>
  <sheetFormatPr defaultRowHeight="14.4" x14ac:dyDescent="0.3"/>
  <cols>
    <col min="1" max="2" width="12.88671875" customWidth="1"/>
    <col min="3" max="3" width="10.88671875" customWidth="1"/>
    <col min="4" max="4" width="11.77734375" customWidth="1"/>
    <col min="5" max="5" width="12.109375" customWidth="1"/>
    <col min="6" max="6" width="11.5546875" customWidth="1"/>
    <col min="7" max="7" width="10.6640625" bestFit="1" customWidth="1"/>
  </cols>
  <sheetData>
    <row r="1" spans="1:7" ht="15" thickBot="1" x14ac:dyDescent="0.3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5" t="s">
        <v>27</v>
      </c>
    </row>
    <row r="2" spans="1:7" x14ac:dyDescent="0.3">
      <c r="A2" s="4" t="str">
        <f>LEFT(Sheet1!A2,FIND(" ",Sheet1!A2)-1)</f>
        <v>Akshay</v>
      </c>
      <c r="B2" s="4" t="str">
        <f>RIGHT(Sheet1!A2,LEN(Sheet1!A2)-FIND(" ",Sheet1!A2))</f>
        <v>P</v>
      </c>
      <c r="C2" s="4" t="str">
        <f>MID(Sheet1!B2,1,3)</f>
        <v>Ern</v>
      </c>
      <c r="D2" s="4">
        <f>Sheet1!C2</f>
        <v>98542</v>
      </c>
      <c r="E2" s="4" t="str">
        <f>A2&amp;"_"&amp;B2</f>
        <v>Akshay_P</v>
      </c>
      <c r="F2" s="4" t="str">
        <f>A2&amp;RIGHT(D2,4)</f>
        <v>Akshay8542</v>
      </c>
      <c r="G2" t="str">
        <f>_xlfn.CONCAT(A2,RIGHT(D2,4))</f>
        <v>Akshay8542</v>
      </c>
    </row>
    <row r="3" spans="1:7" x14ac:dyDescent="0.3">
      <c r="A3" t="str">
        <f>LEFT(Sheet1!A3,FIND(" ",Sheet1!A3)-1)</f>
        <v>Salpha</v>
      </c>
      <c r="B3" t="str">
        <f>RIGHT(Sheet1!A3,LEN(Sheet1!A3)-FIND(" ",Sheet1!A3))</f>
        <v>M</v>
      </c>
      <c r="C3" t="str">
        <f>MID(Sheet1!B3,1,3)</f>
        <v>Koz</v>
      </c>
      <c r="D3">
        <f>Sheet1!C3</f>
        <v>87985</v>
      </c>
      <c r="E3" t="str">
        <f t="shared" ref="E3:E6" si="0">A3&amp;"_"&amp;B3</f>
        <v>Salpha_M</v>
      </c>
      <c r="F3" t="str">
        <f t="shared" ref="F3:F6" si="1">A3&amp;RIGHT(D3,4)</f>
        <v>Salpha7985</v>
      </c>
      <c r="G3" t="str">
        <f t="shared" ref="G3:G6" si="2">_xlfn.CONCAT(A3,RIGHT(D3,4))</f>
        <v>Salpha7985</v>
      </c>
    </row>
    <row r="4" spans="1:7" x14ac:dyDescent="0.3">
      <c r="A4" s="1" t="str">
        <f>LEFT(Sheet1!A4,FIND(" ",Sheet1!A4)-1)</f>
        <v>Keerthy</v>
      </c>
      <c r="B4" s="1" t="str">
        <f>RIGHT(Sheet1!A4,LEN(Sheet1!A4)-FIND(" ",Sheet1!A4))</f>
        <v>M</v>
      </c>
      <c r="C4" s="1" t="str">
        <f>MID(Sheet1!B4,1,3)</f>
        <v>Kol</v>
      </c>
      <c r="D4" s="1">
        <f>Sheet1!C4</f>
        <v>68511</v>
      </c>
      <c r="E4" s="1" t="str">
        <f t="shared" si="0"/>
        <v>Keerthy_M</v>
      </c>
      <c r="F4" s="1" t="str">
        <f t="shared" si="1"/>
        <v>Keerthy8511</v>
      </c>
      <c r="G4" t="str">
        <f t="shared" si="2"/>
        <v>Keerthy8511</v>
      </c>
    </row>
    <row r="5" spans="1:7" x14ac:dyDescent="0.3">
      <c r="A5" t="str">
        <f>LEFT(Sheet1!A5,FIND(" ",Sheet1!A5)-1)</f>
        <v>Rithu</v>
      </c>
      <c r="B5" t="str">
        <f>RIGHT(Sheet1!A5,LEN(Sheet1!A5)-FIND(" ",Sheet1!A5))</f>
        <v>M</v>
      </c>
      <c r="C5" t="str">
        <f>MID(Sheet1!B5,1,3)</f>
        <v>Thr</v>
      </c>
      <c r="D5">
        <f>Sheet1!C5</f>
        <v>85697</v>
      </c>
      <c r="E5" t="str">
        <f t="shared" si="0"/>
        <v>Rithu_M</v>
      </c>
      <c r="F5" t="str">
        <f t="shared" si="1"/>
        <v>Rithu5697</v>
      </c>
      <c r="G5" t="str">
        <f t="shared" si="2"/>
        <v>Rithu5697</v>
      </c>
    </row>
    <row r="6" spans="1:7" ht="15" thickBot="1" x14ac:dyDescent="0.35">
      <c r="A6" s="2" t="str">
        <f>LEFT(Sheet1!A6,FIND(" ",Sheet1!A6)-1)</f>
        <v>Sooraj</v>
      </c>
      <c r="B6" s="2" t="str">
        <f>RIGHT(Sheet1!A6,LEN(Sheet1!A6)-FIND(" ",Sheet1!A6))</f>
        <v>S</v>
      </c>
      <c r="C6" s="2" t="str">
        <f>MID(Sheet1!B6,1,3)</f>
        <v>Tri</v>
      </c>
      <c r="D6" s="2">
        <f>Sheet1!C6</f>
        <v>94478</v>
      </c>
      <c r="E6" s="2" t="str">
        <f t="shared" si="0"/>
        <v>Sooraj_S</v>
      </c>
      <c r="F6" s="2" t="str">
        <f t="shared" si="1"/>
        <v>Sooraj4478</v>
      </c>
      <c r="G6" t="str">
        <f t="shared" si="2"/>
        <v>Sooraj4478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1FC10-F3D9-4EDD-87F5-28DE6681A137}">
  <dimension ref="A1:F8"/>
  <sheetViews>
    <sheetView workbookViewId="0">
      <selection activeCell="E23" sqref="E23"/>
    </sheetView>
  </sheetViews>
  <sheetFormatPr defaultRowHeight="14.4" x14ac:dyDescent="0.3"/>
  <cols>
    <col min="1" max="1" width="12.109375" bestFit="1" customWidth="1"/>
    <col min="2" max="2" width="12" bestFit="1" customWidth="1"/>
    <col min="3" max="3" width="11.33203125" bestFit="1" customWidth="1"/>
    <col min="4" max="4" width="10.77734375" bestFit="1" customWidth="1"/>
    <col min="5" max="5" width="12.44140625" bestFit="1" customWidth="1"/>
    <col min="6" max="6" width="11.21875" bestFit="1" customWidth="1"/>
  </cols>
  <sheetData>
    <row r="1" spans="1:6" x14ac:dyDescent="0.3">
      <c r="A1" t="s">
        <v>14</v>
      </c>
      <c r="B1" t="s">
        <v>15</v>
      </c>
      <c r="C1" t="s">
        <v>28</v>
      </c>
      <c r="D1" t="s">
        <v>29</v>
      </c>
      <c r="E1" t="s">
        <v>18</v>
      </c>
      <c r="F1" t="s">
        <v>19</v>
      </c>
    </row>
    <row r="2" spans="1:6" x14ac:dyDescent="0.3">
      <c r="A2" s="6" t="s">
        <v>30</v>
      </c>
      <c r="B2" s="6" t="s">
        <v>31</v>
      </c>
      <c r="C2">
        <v>98542</v>
      </c>
      <c r="D2" s="6" t="s">
        <v>32</v>
      </c>
      <c r="E2" s="6" t="s">
        <v>33</v>
      </c>
      <c r="F2" t="s">
        <v>34</v>
      </c>
    </row>
    <row r="3" spans="1:6" x14ac:dyDescent="0.3">
      <c r="A3" s="6" t="s">
        <v>35</v>
      </c>
      <c r="B3" s="6" t="s">
        <v>36</v>
      </c>
      <c r="C3">
        <v>87985</v>
      </c>
      <c r="D3" s="6" t="s">
        <v>37</v>
      </c>
      <c r="E3" s="6" t="s">
        <v>38</v>
      </c>
      <c r="F3" t="s">
        <v>39</v>
      </c>
    </row>
    <row r="4" spans="1:6" x14ac:dyDescent="0.3">
      <c r="A4" s="6" t="s">
        <v>40</v>
      </c>
      <c r="B4" s="6" t="s">
        <v>36</v>
      </c>
      <c r="C4">
        <v>68511</v>
      </c>
      <c r="D4" s="6" t="s">
        <v>41</v>
      </c>
      <c r="E4" s="6" t="s">
        <v>42</v>
      </c>
      <c r="F4" t="s">
        <v>43</v>
      </c>
    </row>
    <row r="5" spans="1:6" x14ac:dyDescent="0.3">
      <c r="A5" s="6" t="s">
        <v>44</v>
      </c>
      <c r="B5" s="6" t="s">
        <v>36</v>
      </c>
      <c r="C5">
        <v>85697</v>
      </c>
      <c r="D5" s="6" t="s">
        <v>45</v>
      </c>
      <c r="E5" s="6" t="s">
        <v>46</v>
      </c>
      <c r="F5" t="s">
        <v>47</v>
      </c>
    </row>
    <row r="6" spans="1:6" x14ac:dyDescent="0.3">
      <c r="A6" s="6" t="s">
        <v>48</v>
      </c>
      <c r="B6" s="6" t="s">
        <v>49</v>
      </c>
      <c r="C6">
        <v>94478</v>
      </c>
      <c r="D6" s="6" t="s">
        <v>50</v>
      </c>
      <c r="E6" s="6" t="s">
        <v>51</v>
      </c>
      <c r="F6" t="s">
        <v>52</v>
      </c>
    </row>
    <row r="7" spans="1:6" x14ac:dyDescent="0.3">
      <c r="A7" s="6" t="s">
        <v>53</v>
      </c>
      <c r="B7" s="6" t="s">
        <v>54</v>
      </c>
      <c r="C7">
        <v>77486</v>
      </c>
      <c r="D7" s="6" t="s">
        <v>55</v>
      </c>
      <c r="E7" s="6" t="s">
        <v>56</v>
      </c>
      <c r="F7" t="s">
        <v>57</v>
      </c>
    </row>
    <row r="8" spans="1:6" x14ac:dyDescent="0.3">
      <c r="A8" s="6" t="s">
        <v>58</v>
      </c>
      <c r="B8" s="6" t="s">
        <v>60</v>
      </c>
      <c r="C8">
        <v>77448</v>
      </c>
      <c r="D8" s="6" t="s">
        <v>41</v>
      </c>
      <c r="E8" s="6" t="s">
        <v>61</v>
      </c>
      <c r="F8" t="s">
        <v>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1012-C8C4-44DD-9A2E-ADB53616105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DEC0D2-857A-441C-A26B-AF93E92256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Eldho</dc:creator>
  <cp:lastModifiedBy>Dhiya Eldho</cp:lastModifiedBy>
  <dcterms:created xsi:type="dcterms:W3CDTF">2026-07-15T05:06:52Z</dcterms:created>
  <dcterms:modified xsi:type="dcterms:W3CDTF">2026-07-16T06:31:06Z</dcterms:modified>
</cp:coreProperties>
</file>