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17cf57c0096bfaaf/Documents/Data Analytics/"/>
    </mc:Choice>
  </mc:AlternateContent>
  <xr:revisionPtr revIDLastSave="0" documentId="8_{5089058A-E12B-49F5-BE3F-83B5D0F51CFA}" xr6:coauthVersionLast="47" xr6:coauthVersionMax="47" xr10:uidLastSave="{00000000-0000-0000-0000-000000000000}"/>
  <bookViews>
    <workbookView xWindow="-108" yWindow="-108" windowWidth="23256" windowHeight="12456" activeTab="1" xr2:uid="{C2F19A97-D96D-48C8-A383-561DE5A939B2}"/>
  </bookViews>
  <sheets>
    <sheet name="Sheet1" sheetId="1" r:id="rId1"/>
    <sheet name="Sheet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N3" i="2" l="1"/>
  <c r="N4" i="2"/>
  <c r="N5" i="2"/>
  <c r="N6" i="2"/>
  <c r="N7" i="2"/>
  <c r="N8" i="2"/>
  <c r="L11" i="2"/>
  <c r="L12" i="2"/>
  <c r="L13" i="2"/>
  <c r="L14" i="2"/>
  <c r="L15" i="2"/>
  <c r="L16" i="2"/>
  <c r="L17" i="2"/>
  <c r="L18" i="2"/>
  <c r="O11" i="2"/>
  <c r="P11" i="2"/>
  <c r="Q11" i="2"/>
  <c r="N11" i="2"/>
  <c r="Q2" i="2"/>
  <c r="P2" i="2"/>
  <c r="N13" i="2"/>
  <c r="N14" i="2"/>
  <c r="N15" i="2"/>
  <c r="N16" i="2"/>
  <c r="N17" i="2"/>
  <c r="O2" i="2"/>
  <c r="N2" i="2"/>
  <c r="M8" i="2"/>
  <c r="M7" i="2"/>
  <c r="M3" i="2"/>
  <c r="M4" i="2"/>
  <c r="M5" i="2"/>
  <c r="M6" i="2"/>
  <c r="M2" i="2"/>
  <c r="E10" i="2"/>
  <c r="E9" i="2"/>
  <c r="E8" i="2"/>
  <c r="E7" i="2"/>
  <c r="E2" i="2"/>
  <c r="E3" i="2"/>
  <c r="E4" i="2"/>
  <c r="E5" i="2"/>
  <c r="E6" i="2"/>
  <c r="A16" i="1"/>
  <c r="A17" i="1"/>
  <c r="A15" i="1"/>
  <c r="A14" i="1"/>
  <c r="A13" i="1"/>
  <c r="C2" i="1"/>
</calcChain>
</file>

<file path=xl/sharedStrings.xml><?xml version="1.0" encoding="utf-8"?>
<sst xmlns="http://schemas.openxmlformats.org/spreadsheetml/2006/main" count="27" uniqueCount="15">
  <si>
    <t xml:space="preserve">MARKS </t>
  </si>
  <si>
    <t>Date</t>
  </si>
  <si>
    <t>Product</t>
  </si>
  <si>
    <t>Amount</t>
  </si>
  <si>
    <t>Quantity</t>
  </si>
  <si>
    <t>Kitkat</t>
  </si>
  <si>
    <t>Dairy milk</t>
  </si>
  <si>
    <t>Column1</t>
  </si>
  <si>
    <t>Munch</t>
  </si>
  <si>
    <t>Snickers</t>
  </si>
  <si>
    <t>Galaxy</t>
  </si>
  <si>
    <t>SUM</t>
  </si>
  <si>
    <t>MIN</t>
  </si>
  <si>
    <t>MAX</t>
  </si>
  <si>
    <t>COUNT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</si>
</sst>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4"/>
        <bgColor theme="4"/>
      </patternFill>
    </fill>
    <fill>
      <patternFill patternType="solid">
        <fgColor theme="4" tint="0.79998168889431442"/>
        <bgColor theme="4" tint="0.79998168889431442"/>
      </patternFill>
    </fill>
  </fills>
  <borders count="4">
    <border>
      <left/>
      <right/>
      <top/>
      <bottom/>
      <diagonal/>
    </border>
    <border>
      <left style="thin">
        <color theme="4" tint="0.39997558519241921"/>
      </left>
      <right/>
      <top style="thin">
        <color theme="4" tint="0.39997558519241921"/>
      </top>
      <bottom style="thin">
        <color theme="4" tint="0.39997558519241921"/>
      </bottom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  <border>
      <left/>
      <right style="thin">
        <color theme="4" tint="0.39997558519241921"/>
      </right>
      <top style="thin">
        <color theme="4" tint="0.39997558519241921"/>
      </top>
      <bottom style="thin">
        <color theme="4" tint="0.39997558519241921"/>
      </bottom>
      <diagonal/>
    </border>
  </borders>
  <cellStyleXfs count="1">
    <xf numFmtId="0" fontId="0" fillId="0" borderId="0"/>
  </cellStyleXfs>
  <cellXfs count="12">
    <xf numFmtId="0" fontId="0" fillId="0" borderId="0" xfId="0"/>
    <xf numFmtId="14" fontId="0" fillId="0" borderId="0" xfId="0" applyNumberFormat="1"/>
    <xf numFmtId="0" fontId="1" fillId="2" borderId="1" xfId="0" applyFont="1" applyFill="1" applyBorder="1"/>
    <xf numFmtId="0" fontId="1" fillId="2" borderId="2" xfId="0" applyFont="1" applyFill="1" applyBorder="1"/>
    <xf numFmtId="0" fontId="1" fillId="2" borderId="3" xfId="0" applyFont="1" applyFill="1" applyBorder="1"/>
    <xf numFmtId="0" fontId="0" fillId="3" borderId="2" xfId="0" applyFont="1" applyFill="1" applyBorder="1"/>
    <xf numFmtId="0" fontId="0" fillId="3" borderId="3" xfId="0" applyFont="1" applyFill="1" applyBorder="1"/>
    <xf numFmtId="0" fontId="0" fillId="0" borderId="2" xfId="0" applyFont="1" applyBorder="1"/>
    <xf numFmtId="0" fontId="0" fillId="0" borderId="0" xfId="0" applyNumberFormat="1"/>
    <xf numFmtId="14" fontId="0" fillId="3" borderId="1" xfId="0" applyNumberFormat="1" applyFont="1" applyFill="1" applyBorder="1"/>
    <xf numFmtId="0" fontId="0" fillId="0" borderId="0" xfId="0" applyFont="1" applyFill="1" applyBorder="1"/>
    <xf numFmtId="0" fontId="0" fillId="3" borderId="0" xfId="0" applyFont="1" applyFill="1" applyBorder="1"/>
  </cellXfs>
  <cellStyles count="1">
    <cellStyle name="Normal" xfId="0" builtinId="0"/>
  </cellStyles>
  <dxfs count="4">
    <dxf>
      <numFmt numFmtId="0" formatCode="General"/>
    </dxf>
    <dxf>
      <numFmt numFmtId="19" formatCode="dd/mm/yyyy"/>
    </dxf>
    <dxf>
      <numFmt numFmtId="0" formatCode="General"/>
    </dxf>
    <dxf>
      <numFmt numFmtId="19" formatCode="dd/mm/yyyy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A6DF6A73-7E15-4D85-87E5-5ABA05927B26}" name="Table1" displayName="Table1" ref="A1:E7" totalsRowCount="1">
  <autoFilter ref="A1:E6" xr:uid="{A6DF6A73-7E15-4D85-87E5-5ABA05927B26}"/>
  <tableColumns count="5">
    <tableColumn id="1" xr3:uid="{56043FE2-B652-461B-AA1A-0F170568D8FF}" name="Date" dataDxfId="3" totalsRowDxfId="1"/>
    <tableColumn id="2" xr3:uid="{35F744A7-F33D-4593-B3B5-E10F16980262}" name="Product"/>
    <tableColumn id="3" xr3:uid="{BCE3EDFA-A7C1-4995-8118-492B6F2FB5EA}" name="Quantity"/>
    <tableColumn id="4" xr3:uid="{D00D1CDE-6651-4946-A4B5-622FE9B54053}" name="Amount" totalsRowLabel="SUM"/>
    <tableColumn id="5" xr3:uid="{48C332A1-5AD6-427C-A5D0-C175D0BDD984}" name="Column1" totalsRowFunction="custom" dataDxfId="2" totalsRowDxfId="0">
      <calculatedColumnFormula>Table1[[#This Row],[Quantity]]*Table1[[#This Row],[Amount]]</calculatedColumnFormula>
      <totalsRowFormula>SUM(Table1[Column1])</totalsRow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F52EFE-7AF2-45A7-B280-7807555043EA}">
  <dimension ref="A1:C17"/>
  <sheetViews>
    <sheetView zoomScale="148" workbookViewId="0">
      <selection activeCell="C14" sqref="C14"/>
    </sheetView>
  </sheetViews>
  <sheetFormatPr defaultRowHeight="14.4" x14ac:dyDescent="0.3"/>
  <sheetData>
    <row r="1" spans="1:3" x14ac:dyDescent="0.3">
      <c r="A1" t="s">
        <v>0</v>
      </c>
    </row>
    <row r="2" spans="1:3" x14ac:dyDescent="0.3">
      <c r="A2">
        <v>52</v>
      </c>
      <c r="B2">
        <v>1</v>
      </c>
      <c r="C2">
        <f>(A2+A3+A4+A5+A6+A7+A8+A9+A10+A11)/10</f>
        <v>57.5</v>
      </c>
    </row>
    <row r="3" spans="1:3" x14ac:dyDescent="0.3">
      <c r="A3">
        <v>45</v>
      </c>
      <c r="B3">
        <v>2</v>
      </c>
    </row>
    <row r="4" spans="1:3" x14ac:dyDescent="0.3">
      <c r="A4">
        <v>85</v>
      </c>
      <c r="B4">
        <v>3</v>
      </c>
    </row>
    <row r="5" spans="1:3" x14ac:dyDescent="0.3">
      <c r="A5">
        <v>74</v>
      </c>
      <c r="B5">
        <v>4</v>
      </c>
    </row>
    <row r="6" spans="1:3" x14ac:dyDescent="0.3">
      <c r="A6">
        <v>63</v>
      </c>
      <c r="B6">
        <v>10</v>
      </c>
    </row>
    <row r="7" spans="1:3" x14ac:dyDescent="0.3">
      <c r="A7">
        <v>12</v>
      </c>
      <c r="B7">
        <v>6</v>
      </c>
    </row>
    <row r="8" spans="1:3" x14ac:dyDescent="0.3">
      <c r="A8">
        <v>55</v>
      </c>
      <c r="B8">
        <v>6</v>
      </c>
    </row>
    <row r="9" spans="1:3" x14ac:dyDescent="0.3">
      <c r="A9">
        <v>73</v>
      </c>
      <c r="B9">
        <v>8</v>
      </c>
    </row>
    <row r="10" spans="1:3" x14ac:dyDescent="0.3">
      <c r="A10">
        <v>33</v>
      </c>
      <c r="B10">
        <v>9</v>
      </c>
    </row>
    <row r="11" spans="1:3" x14ac:dyDescent="0.3">
      <c r="A11">
        <v>83</v>
      </c>
      <c r="B11">
        <v>5</v>
      </c>
    </row>
    <row r="12" spans="1:3" x14ac:dyDescent="0.3">
      <c r="B12">
        <v>11</v>
      </c>
    </row>
    <row r="13" spans="1:3" x14ac:dyDescent="0.3">
      <c r="A13">
        <f>AVERAGE(A2:A11)</f>
        <v>57.5</v>
      </c>
    </row>
    <row r="14" spans="1:3" x14ac:dyDescent="0.3">
      <c r="A14">
        <f>MEDIAN(A2:A11)</f>
        <v>59</v>
      </c>
    </row>
    <row r="15" spans="1:3" x14ac:dyDescent="0.3">
      <c r="A15">
        <f>MEDIAN(B2:B12)</f>
        <v>6</v>
      </c>
    </row>
    <row r="16" spans="1:3" x14ac:dyDescent="0.3">
      <c r="A16">
        <f>(MODE(B2:B12))</f>
        <v>6</v>
      </c>
    </row>
    <row r="17" spans="1:1" x14ac:dyDescent="0.3">
      <c r="A17">
        <f>_xlfn.STDEV.S(B2:B12)</f>
        <v>3.3001377381723165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914367-91B5-413B-9843-3001E6E575E3}">
  <dimension ref="A1:Q18"/>
  <sheetViews>
    <sheetView tabSelected="1" workbookViewId="0">
      <selection activeCell="N3" sqref="N3"/>
    </sheetView>
  </sheetViews>
  <sheetFormatPr defaultRowHeight="14.4" x14ac:dyDescent="0.3"/>
  <cols>
    <col min="1" max="1" width="11.88671875" customWidth="1"/>
    <col min="2" max="2" width="9.5546875" customWidth="1"/>
    <col min="3" max="3" width="10.21875" customWidth="1"/>
    <col min="4" max="4" width="9.77734375" customWidth="1"/>
    <col min="9" max="9" width="10.33203125" bestFit="1" customWidth="1"/>
    <col min="14" max="14" width="13.77734375" customWidth="1"/>
  </cols>
  <sheetData>
    <row r="1" spans="1:17" x14ac:dyDescent="0.3">
      <c r="A1" t="s">
        <v>1</v>
      </c>
      <c r="B1" t="s">
        <v>2</v>
      </c>
      <c r="C1" t="s">
        <v>4</v>
      </c>
      <c r="D1" t="s">
        <v>3</v>
      </c>
      <c r="E1" t="s">
        <v>7</v>
      </c>
      <c r="I1" s="2" t="s">
        <v>1</v>
      </c>
      <c r="J1" s="3" t="s">
        <v>2</v>
      </c>
      <c r="K1" s="3" t="s">
        <v>4</v>
      </c>
      <c r="L1" s="3" t="s">
        <v>3</v>
      </c>
      <c r="M1" s="4" t="s">
        <v>7</v>
      </c>
    </row>
    <row r="2" spans="1:17" x14ac:dyDescent="0.3">
      <c r="A2" s="1">
        <v>46054</v>
      </c>
      <c r="B2" t="s">
        <v>5</v>
      </c>
      <c r="C2">
        <v>5</v>
      </c>
      <c r="D2">
        <v>1000</v>
      </c>
      <c r="E2">
        <f>Table1[[#This Row],[Quantity]]*Table1[[#This Row],[Amount]]</f>
        <v>5000</v>
      </c>
      <c r="I2" s="9">
        <v>46054</v>
      </c>
      <c r="J2" s="5" t="s">
        <v>5</v>
      </c>
      <c r="K2" s="5">
        <v>5</v>
      </c>
      <c r="L2" s="5">
        <v>1000</v>
      </c>
      <c r="M2" s="6">
        <f>Table1[[#This Row],[Quantity]]*Table1[[#This Row],[Amount]]</f>
        <v>5000</v>
      </c>
      <c r="N2" t="str">
        <f>IF(7000&gt;M2,"Achieved","NotAchieved")</f>
        <v>Achieved</v>
      </c>
      <c r="O2">
        <f>SUMIF(J2:J8,J7,M2:M8)</f>
        <v>7100</v>
      </c>
      <c r="P2">
        <f>COUNTIF(J2:J8,J7)</f>
        <v>2</v>
      </c>
      <c r="Q2">
        <f>AVERAGEIF(J2:J8,J8,M2:M8)</f>
        <v>1875</v>
      </c>
    </row>
    <row r="3" spans="1:17" x14ac:dyDescent="0.3">
      <c r="A3" s="1">
        <v>46055</v>
      </c>
      <c r="B3" t="s">
        <v>6</v>
      </c>
      <c r="C3">
        <v>6</v>
      </c>
      <c r="D3">
        <v>500</v>
      </c>
      <c r="E3">
        <f>Table1[[#This Row],[Quantity]]*Table1[[#This Row],[Amount]]</f>
        <v>3000</v>
      </c>
      <c r="I3" s="9">
        <v>46055</v>
      </c>
      <c r="J3" s="7" t="s">
        <v>6</v>
      </c>
      <c r="K3" s="7">
        <v>6</v>
      </c>
      <c r="L3" s="7">
        <v>500</v>
      </c>
      <c r="M3" s="6">
        <f>Table1[[#This Row],[Quantity]]*Table1[[#This Row],[Amount]]</f>
        <v>3000</v>
      </c>
      <c r="N3" t="str">
        <f t="shared" ref="N3:N8" si="0">IF(7000&gt;M3,"Achieved","NotAchieved")</f>
        <v>Achieved</v>
      </c>
    </row>
    <row r="4" spans="1:17" x14ac:dyDescent="0.3">
      <c r="A4" s="1">
        <v>46056</v>
      </c>
      <c r="B4" t="s">
        <v>8</v>
      </c>
      <c r="C4">
        <v>8</v>
      </c>
      <c r="D4">
        <v>900</v>
      </c>
      <c r="E4">
        <f>Table1[[#This Row],[Quantity]]*Table1[[#This Row],[Amount]]</f>
        <v>7200</v>
      </c>
      <c r="I4" s="9">
        <v>46056</v>
      </c>
      <c r="J4" s="5" t="s">
        <v>8</v>
      </c>
      <c r="K4" s="5">
        <v>8</v>
      </c>
      <c r="L4" s="5">
        <v>900</v>
      </c>
      <c r="M4" s="6">
        <f>Table1[[#This Row],[Quantity]]*Table1[[#This Row],[Amount]]</f>
        <v>7200</v>
      </c>
      <c r="N4" t="str">
        <f t="shared" si="0"/>
        <v>NotAchieved</v>
      </c>
    </row>
    <row r="5" spans="1:17" x14ac:dyDescent="0.3">
      <c r="A5" s="1">
        <v>46057</v>
      </c>
      <c r="B5" t="s">
        <v>9</v>
      </c>
      <c r="C5">
        <v>10</v>
      </c>
      <c r="D5">
        <v>450</v>
      </c>
      <c r="E5">
        <f>Table1[[#This Row],[Quantity]]*Table1[[#This Row],[Amount]]</f>
        <v>4500</v>
      </c>
      <c r="I5" s="9">
        <v>46057</v>
      </c>
      <c r="J5" s="7" t="s">
        <v>9</v>
      </c>
      <c r="K5" s="7">
        <v>10</v>
      </c>
      <c r="L5" s="7">
        <v>450</v>
      </c>
      <c r="M5" s="6">
        <f>Table1[[#This Row],[Quantity]]*Table1[[#This Row],[Amount]]</f>
        <v>4500</v>
      </c>
      <c r="N5" t="str">
        <f t="shared" si="0"/>
        <v>Achieved</v>
      </c>
    </row>
    <row r="6" spans="1:17" x14ac:dyDescent="0.3">
      <c r="A6" s="1">
        <v>46058</v>
      </c>
      <c r="B6" t="s">
        <v>10</v>
      </c>
      <c r="C6">
        <v>15</v>
      </c>
      <c r="D6">
        <v>200</v>
      </c>
      <c r="E6">
        <f>Table1[[#This Row],[Quantity]]*Table1[[#This Row],[Amount]]</f>
        <v>3000</v>
      </c>
      <c r="I6" s="9">
        <v>46058</v>
      </c>
      <c r="J6" s="5" t="s">
        <v>10</v>
      </c>
      <c r="K6" s="5">
        <v>15</v>
      </c>
      <c r="L6" s="5">
        <v>200</v>
      </c>
      <c r="M6" s="6">
        <f>Table1[[#This Row],[Quantity]]*Table1[[#This Row],[Amount]]</f>
        <v>3000</v>
      </c>
      <c r="N6" t="str">
        <f t="shared" si="0"/>
        <v>Achieved</v>
      </c>
    </row>
    <row r="7" spans="1:17" x14ac:dyDescent="0.3">
      <c r="A7" s="1"/>
      <c r="D7" t="s">
        <v>11</v>
      </c>
      <c r="E7" s="8">
        <f>SUM(Table1[Column1])</f>
        <v>22700</v>
      </c>
      <c r="I7" s="9">
        <v>46059</v>
      </c>
      <c r="J7" s="10" t="s">
        <v>5</v>
      </c>
      <c r="K7" s="10">
        <v>7</v>
      </c>
      <c r="L7" s="10">
        <v>300</v>
      </c>
      <c r="M7" s="6">
        <f>K7*L7</f>
        <v>2100</v>
      </c>
      <c r="N7" t="str">
        <f t="shared" si="0"/>
        <v>Achieved</v>
      </c>
    </row>
    <row r="8" spans="1:17" x14ac:dyDescent="0.3">
      <c r="D8" t="s">
        <v>12</v>
      </c>
      <c r="E8">
        <f>MIN(Table1[Column1])</f>
        <v>3000</v>
      </c>
      <c r="I8" s="9">
        <v>46060</v>
      </c>
      <c r="J8" s="11" t="s">
        <v>6</v>
      </c>
      <c r="K8" s="11">
        <v>3</v>
      </c>
      <c r="L8" s="11">
        <v>250</v>
      </c>
      <c r="M8" s="6">
        <f>K8*L8</f>
        <v>750</v>
      </c>
      <c r="N8" t="str">
        <f t="shared" si="0"/>
        <v>Achieved</v>
      </c>
    </row>
    <row r="9" spans="1:17" x14ac:dyDescent="0.3">
      <c r="D9" t="s">
        <v>13</v>
      </c>
      <c r="E9">
        <f>MAX(Table1[Column1])</f>
        <v>7200</v>
      </c>
    </row>
    <row r="10" spans="1:17" x14ac:dyDescent="0.3">
      <c r="D10" t="s">
        <v>14</v>
      </c>
      <c r="E10">
        <f>COUNT(Table1[Column1])</f>
        <v>5</v>
      </c>
    </row>
    <row r="11" spans="1:17" x14ac:dyDescent="0.3">
      <c r="L11" t="str">
        <f>IF(M6&gt;$M$2,"A","B")</f>
        <v>B</v>
      </c>
      <c r="N11" t="str">
        <f>IF($M$4&gt;M2,"yes","no")</f>
        <v>yes</v>
      </c>
      <c r="O11" t="str">
        <f t="shared" ref="O11:Q11" si="1">IF($M$4&gt;N2,"yes","no")</f>
        <v>no</v>
      </c>
      <c r="P11" t="str">
        <f t="shared" si="1"/>
        <v>yes</v>
      </c>
      <c r="Q11" t="str">
        <f t="shared" si="1"/>
        <v>yes</v>
      </c>
    </row>
    <row r="12" spans="1:17" x14ac:dyDescent="0.3">
      <c r="L12" t="str">
        <f t="shared" ref="L12:L18" si="2">IF(M7&gt;$M$2,"A","B")</f>
        <v>B</v>
      </c>
    </row>
    <row r="13" spans="1:17" x14ac:dyDescent="0.3">
      <c r="L13" t="str">
        <f t="shared" si="2"/>
        <v>B</v>
      </c>
      <c r="N13" t="str">
        <f t="shared" ref="N12:N17" si="3">IF(M6&gt;M4,"yes","no")</f>
        <v>no</v>
      </c>
    </row>
    <row r="14" spans="1:17" x14ac:dyDescent="0.3">
      <c r="L14" t="str">
        <f t="shared" si="2"/>
        <v>B</v>
      </c>
      <c r="N14" t="str">
        <f t="shared" si="3"/>
        <v>no</v>
      </c>
    </row>
    <row r="15" spans="1:17" x14ac:dyDescent="0.3">
      <c r="L15" t="str">
        <f t="shared" si="2"/>
        <v>B</v>
      </c>
      <c r="N15" t="str">
        <f t="shared" si="3"/>
        <v>no</v>
      </c>
    </row>
    <row r="16" spans="1:17" x14ac:dyDescent="0.3">
      <c r="L16" t="str">
        <f t="shared" si="2"/>
        <v>B</v>
      </c>
      <c r="N16" t="str">
        <f t="shared" si="3"/>
        <v>no</v>
      </c>
    </row>
    <row r="17" spans="12:14" x14ac:dyDescent="0.3">
      <c r="L17" t="str">
        <f t="shared" si="2"/>
        <v>B</v>
      </c>
      <c r="N17" t="str">
        <f t="shared" si="3"/>
        <v>no</v>
      </c>
    </row>
    <row r="18" spans="12:14" x14ac:dyDescent="0.3">
      <c r="L18" t="str">
        <f t="shared" si="2"/>
        <v>B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Dhiya Eldho</dc:creator>
  <cp:lastModifiedBy>Dhiya Eldho</cp:lastModifiedBy>
  <dcterms:created xsi:type="dcterms:W3CDTF">2026-07-14T04:59:43Z</dcterms:created>
  <dcterms:modified xsi:type="dcterms:W3CDTF">2026-07-14T06:20:57Z</dcterms:modified>
</cp:coreProperties>
</file>