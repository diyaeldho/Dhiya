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ocuments/Data Analytics/"/>
    </mc:Choice>
  </mc:AlternateContent>
  <xr:revisionPtr revIDLastSave="0" documentId="8_{2A3BA571-7861-4ADF-9B82-375E3F201A79}" xr6:coauthVersionLast="47" xr6:coauthVersionMax="47" xr10:uidLastSave="{00000000-0000-0000-0000-000000000000}"/>
  <bookViews>
    <workbookView xWindow="-108" yWindow="-108" windowWidth="23256" windowHeight="12456" xr2:uid="{F67F2946-DAEE-4241-BAA8-D222D23705DB}"/>
  </bookViews>
  <sheets>
    <sheet name="Data_Analytics_Excel_Practice_D" sheetId="2" r:id="rId1"/>
    <sheet name="Sheet1" sheetId="1" r:id="rId2"/>
  </sheets>
  <definedNames>
    <definedName name="ExternalData_1" localSheetId="0" hidden="1">Data_Analytics_Excel_Practice_D!$A$1:$F$51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6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BAF2B-F796-4A9F-B450-9C5136661373}" keepAlive="1" name="Query - Data_Analytics_Excel_Practice_Dataset" description="Connection to the 'Data_Analytics_Excel_Practice_Dataset' query in the workbook." type="5" refreshedVersion="8" background="1" saveData="1">
    <dbPr connection="Provider=Microsoft.Mashup.OleDb.1;Data Source=$Workbook$;Location=Data_Analytics_Excel_Practice_Dataset;Extended Properties=&quot;&quot;" command="SELECT * FROM [Data_Analytics_Excel_Practice_Dataset]"/>
  </connection>
</connections>
</file>

<file path=xl/sharedStrings.xml><?xml version="1.0" encoding="utf-8"?>
<sst xmlns="http://schemas.openxmlformats.org/spreadsheetml/2006/main" count="171" uniqueCount="36">
  <si>
    <t>StudentID</t>
  </si>
  <si>
    <t>Name</t>
  </si>
  <si>
    <t>Course</t>
  </si>
  <si>
    <t>Batch</t>
  </si>
  <si>
    <t>Age</t>
  </si>
  <si>
    <t>Score</t>
  </si>
  <si>
    <t>Neha</t>
  </si>
  <si>
    <t>Excel</t>
  </si>
  <si>
    <t>A</t>
  </si>
  <si>
    <t>Kiran</t>
  </si>
  <si>
    <t>Data Analytics</t>
  </si>
  <si>
    <t>B</t>
  </si>
  <si>
    <t>Arun</t>
  </si>
  <si>
    <t>Python</t>
  </si>
  <si>
    <t>Anu</t>
  </si>
  <si>
    <t>Asha</t>
  </si>
  <si>
    <t>C</t>
  </si>
  <si>
    <t>Meera</t>
  </si>
  <si>
    <t>Diya</t>
  </si>
  <si>
    <t>Nikhil</t>
  </si>
  <si>
    <t>Vivek</t>
  </si>
  <si>
    <t>Rahul</t>
  </si>
  <si>
    <t>COUNT</t>
  </si>
  <si>
    <t>SUM</t>
  </si>
  <si>
    <t>MIN</t>
  </si>
  <si>
    <t>MAX</t>
  </si>
  <si>
    <t>AVERAGE</t>
  </si>
  <si>
    <t>MEAN</t>
  </si>
  <si>
    <t>MEDIAN</t>
  </si>
  <si>
    <t>MODE</t>
  </si>
  <si>
    <t>VARIANCE</t>
  </si>
  <si>
    <t>SD</t>
  </si>
  <si>
    <t>COUNTIF</t>
  </si>
  <si>
    <t>SUMIF</t>
  </si>
  <si>
    <t>AVERAGEIF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</si>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</sst>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362BFA-3D42-43E9-8E1B-408B98C60659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tudentID" tableColumnId="1"/>
      <queryTableField id="2" name="Name" tableColumnId="2"/>
      <queryTableField id="3" name="Course" tableColumnId="3"/>
      <queryTableField id="4" name="Batch" tableColumnId="4"/>
      <queryTableField id="5" name="Age" tableColumnId="5"/>
      <queryTableField id="6" name="Score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5632D-3016-4E28-B21D-0CF9DB266D20}" name="Data_Analytics_Excel_Practice_Dataset" displayName="Data_Analytics_Excel_Practice_Dataset" ref="A1:G51" tableType="queryTable" totalsRowShown="0">
  <autoFilter ref="A1:G51" xr:uid="{B0B5632D-3016-4E28-B21D-0CF9DB266D20}"/>
  <tableColumns count="7">
    <tableColumn id="1" xr3:uid="{27FC78EA-F3A9-4418-A35D-78D41046940B}" uniqueName="1" name="StudentID" queryTableFieldId="1"/>
    <tableColumn id="2" xr3:uid="{99F5EC9D-CA09-49FD-9105-3A09ADDFA8A7}" uniqueName="2" name="Name" queryTableFieldId="2" dataDxfId="3"/>
    <tableColumn id="3" xr3:uid="{0A3E81EA-0404-4A05-A0ED-3193FE537723}" uniqueName="3" name="Course" queryTableFieldId="3" dataDxfId="2"/>
    <tableColumn id="4" xr3:uid="{A1E1B4CD-7655-4B7C-A39C-5447C05B35FE}" uniqueName="4" name="Batch" queryTableFieldId="4" dataDxfId="1"/>
    <tableColumn id="5" xr3:uid="{20B82126-21C5-44B2-B74D-A25A8D01625D}" uniqueName="5" name="Age" queryTableFieldId="5"/>
    <tableColumn id="6" xr3:uid="{3ADE60AD-D465-49A5-A499-86DFD5700499}" uniqueName="6" name="Score" queryTableFieldId="6"/>
    <tableColumn id="7" xr3:uid="{E812FF9D-1A19-41C9-9AC3-9C447369700E}" uniqueName="7" name="PASS/FAIL" queryTableFieldId="7" dataDxfId="0">
      <calculatedColumnFormula>IF(Data_Analytics_Excel_Practice_Dataset[[#This Row],[Score]]&gt;=60,"PASS","FAIL")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50BC-4497-4AFD-969D-FE81B2536AA7}">
  <dimension ref="A1:G66"/>
  <sheetViews>
    <sheetView tabSelected="1" workbookViewId="0">
      <selection activeCell="B67" sqref="B67"/>
    </sheetView>
  </sheetViews>
  <sheetFormatPr defaultRowHeight="14.4" x14ac:dyDescent="0.3"/>
  <cols>
    <col min="1" max="1" width="11.6640625" bestFit="1" customWidth="1"/>
    <col min="2" max="2" width="8.21875" bestFit="1" customWidth="1"/>
    <col min="3" max="3" width="12.5546875" bestFit="1" customWidth="1"/>
    <col min="4" max="4" width="8" bestFit="1" customWidth="1"/>
    <col min="5" max="5" width="6.44140625" bestFit="1" customWidth="1"/>
    <col min="6" max="6" width="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</row>
    <row r="2" spans="1:7" x14ac:dyDescent="0.3">
      <c r="A2">
        <v>1</v>
      </c>
      <c r="B2" s="1" t="s">
        <v>6</v>
      </c>
      <c r="C2" s="1" t="s">
        <v>7</v>
      </c>
      <c r="D2" s="1" t="s">
        <v>8</v>
      </c>
      <c r="E2">
        <v>26</v>
      </c>
      <c r="F2">
        <v>57</v>
      </c>
      <c r="G2" s="1" t="str">
        <f>IF(Data_Analytics_Excel_Practice_Dataset[[#This Row],[Score]]&gt;=60,"PASS","FAIL")</f>
        <v>FAIL</v>
      </c>
    </row>
    <row r="3" spans="1:7" x14ac:dyDescent="0.3">
      <c r="A3">
        <v>2</v>
      </c>
      <c r="B3" s="1" t="s">
        <v>9</v>
      </c>
      <c r="C3" s="1" t="s">
        <v>10</v>
      </c>
      <c r="D3" s="1" t="s">
        <v>11</v>
      </c>
      <c r="E3">
        <v>30</v>
      </c>
      <c r="F3">
        <v>100</v>
      </c>
      <c r="G3" s="1" t="str">
        <f>IF(Data_Analytics_Excel_Practice_Dataset[[#This Row],[Score]]&gt;=60,"PASS","FAIL")</f>
        <v>PASS</v>
      </c>
    </row>
    <row r="4" spans="1:7" x14ac:dyDescent="0.3">
      <c r="A4">
        <v>3</v>
      </c>
      <c r="B4" s="1" t="s">
        <v>12</v>
      </c>
      <c r="C4" s="1" t="s">
        <v>13</v>
      </c>
      <c r="D4" s="1" t="s">
        <v>11</v>
      </c>
      <c r="E4">
        <v>18</v>
      </c>
      <c r="F4">
        <v>74</v>
      </c>
      <c r="G4" s="1" t="str">
        <f>IF(Data_Analytics_Excel_Practice_Dataset[[#This Row],[Score]]&gt;=60,"PASS","FAIL")</f>
        <v>PASS</v>
      </c>
    </row>
    <row r="5" spans="1:7" x14ac:dyDescent="0.3">
      <c r="A5">
        <v>4</v>
      </c>
      <c r="B5" s="1" t="s">
        <v>14</v>
      </c>
      <c r="C5" s="1" t="s">
        <v>7</v>
      </c>
      <c r="D5" s="1" t="s">
        <v>8</v>
      </c>
      <c r="E5">
        <v>32</v>
      </c>
      <c r="F5">
        <v>67</v>
      </c>
      <c r="G5" s="1" t="str">
        <f>IF(Data_Analytics_Excel_Practice_Dataset[[#This Row],[Score]]&gt;=60,"PASS","FAIL")</f>
        <v>PASS</v>
      </c>
    </row>
    <row r="6" spans="1:7" x14ac:dyDescent="0.3">
      <c r="A6">
        <v>5</v>
      </c>
      <c r="B6" s="1" t="s">
        <v>12</v>
      </c>
      <c r="C6" s="1" t="s">
        <v>7</v>
      </c>
      <c r="D6" s="1" t="s">
        <v>8</v>
      </c>
      <c r="E6">
        <v>28</v>
      </c>
      <c r="F6">
        <v>51</v>
      </c>
      <c r="G6" s="1" t="str">
        <f>IF(Data_Analytics_Excel_Practice_Dataset[[#This Row],[Score]]&gt;=60,"PASS","FAIL")</f>
        <v>FAIL</v>
      </c>
    </row>
    <row r="7" spans="1:7" x14ac:dyDescent="0.3">
      <c r="A7">
        <v>6</v>
      </c>
      <c r="B7" s="1" t="s">
        <v>15</v>
      </c>
      <c r="C7" s="1" t="s">
        <v>13</v>
      </c>
      <c r="D7" s="1" t="s">
        <v>16</v>
      </c>
      <c r="E7">
        <v>35</v>
      </c>
      <c r="F7">
        <v>50</v>
      </c>
      <c r="G7" s="1" t="str">
        <f>IF(Data_Analytics_Excel_Practice_Dataset[[#This Row],[Score]]&gt;=60,"PASS","FAIL")</f>
        <v>FAIL</v>
      </c>
    </row>
    <row r="8" spans="1:7" x14ac:dyDescent="0.3">
      <c r="A8">
        <v>7</v>
      </c>
      <c r="B8" s="1" t="s">
        <v>14</v>
      </c>
      <c r="C8" s="1" t="s">
        <v>7</v>
      </c>
      <c r="D8" s="1" t="s">
        <v>8</v>
      </c>
      <c r="E8">
        <v>31</v>
      </c>
      <c r="F8">
        <v>96</v>
      </c>
      <c r="G8" s="1" t="str">
        <f>IF(Data_Analytics_Excel_Practice_Dataset[[#This Row],[Score]]&gt;=60,"PASS","FAIL")</f>
        <v>PASS</v>
      </c>
    </row>
    <row r="9" spans="1:7" x14ac:dyDescent="0.3">
      <c r="A9">
        <v>8</v>
      </c>
      <c r="B9" s="1" t="s">
        <v>15</v>
      </c>
      <c r="C9" s="1" t="s">
        <v>7</v>
      </c>
      <c r="D9" s="1" t="s">
        <v>8</v>
      </c>
      <c r="E9">
        <v>32</v>
      </c>
      <c r="F9">
        <v>81</v>
      </c>
      <c r="G9" s="1" t="str">
        <f>IF(Data_Analytics_Excel_Practice_Dataset[[#This Row],[Score]]&gt;=60,"PASS","FAIL")</f>
        <v>PASS</v>
      </c>
    </row>
    <row r="10" spans="1:7" x14ac:dyDescent="0.3">
      <c r="A10">
        <v>9</v>
      </c>
      <c r="B10" s="1" t="s">
        <v>17</v>
      </c>
      <c r="C10" s="1" t="s">
        <v>13</v>
      </c>
      <c r="D10" s="1" t="s">
        <v>11</v>
      </c>
      <c r="E10">
        <v>25</v>
      </c>
      <c r="F10">
        <v>93</v>
      </c>
      <c r="G10" s="1" t="str">
        <f>IF(Data_Analytics_Excel_Practice_Dataset[[#This Row],[Score]]&gt;=60,"PASS","FAIL")</f>
        <v>PASS</v>
      </c>
    </row>
    <row r="11" spans="1:7" x14ac:dyDescent="0.3">
      <c r="A11">
        <v>10</v>
      </c>
      <c r="B11" s="1" t="s">
        <v>12</v>
      </c>
      <c r="C11" s="1" t="s">
        <v>10</v>
      </c>
      <c r="D11" s="1" t="s">
        <v>11</v>
      </c>
      <c r="E11">
        <v>18</v>
      </c>
      <c r="F11">
        <v>76</v>
      </c>
      <c r="G11" s="1" t="str">
        <f>IF(Data_Analytics_Excel_Practice_Dataset[[#This Row],[Score]]&gt;=60,"PASS","FAIL")</f>
        <v>PASS</v>
      </c>
    </row>
    <row r="12" spans="1:7" x14ac:dyDescent="0.3">
      <c r="A12">
        <v>11</v>
      </c>
      <c r="B12" s="1" t="s">
        <v>17</v>
      </c>
      <c r="C12" s="1" t="s">
        <v>7</v>
      </c>
      <c r="D12" s="1" t="s">
        <v>8</v>
      </c>
      <c r="E12">
        <v>23</v>
      </c>
      <c r="F12">
        <v>90</v>
      </c>
      <c r="G12" s="1" t="str">
        <f>IF(Data_Analytics_Excel_Practice_Dataset[[#This Row],[Score]]&gt;=60,"PASS","FAIL")</f>
        <v>PASS</v>
      </c>
    </row>
    <row r="13" spans="1:7" x14ac:dyDescent="0.3">
      <c r="A13">
        <v>12</v>
      </c>
      <c r="B13" s="1" t="s">
        <v>18</v>
      </c>
      <c r="C13" s="1" t="s">
        <v>13</v>
      </c>
      <c r="D13" s="1" t="s">
        <v>16</v>
      </c>
      <c r="E13">
        <v>28</v>
      </c>
      <c r="F13">
        <v>96</v>
      </c>
      <c r="G13" s="1" t="str">
        <f>IF(Data_Analytics_Excel_Practice_Dataset[[#This Row],[Score]]&gt;=60,"PASS","FAIL")</f>
        <v>PASS</v>
      </c>
    </row>
    <row r="14" spans="1:7" x14ac:dyDescent="0.3">
      <c r="A14">
        <v>13</v>
      </c>
      <c r="B14" s="1" t="s">
        <v>17</v>
      </c>
      <c r="C14" s="1" t="s">
        <v>10</v>
      </c>
      <c r="D14" s="1" t="s">
        <v>16</v>
      </c>
      <c r="E14">
        <v>24</v>
      </c>
      <c r="F14">
        <v>69</v>
      </c>
      <c r="G14" s="1" t="str">
        <f>IF(Data_Analytics_Excel_Practice_Dataset[[#This Row],[Score]]&gt;=60,"PASS","FAIL")</f>
        <v>PASS</v>
      </c>
    </row>
    <row r="15" spans="1:7" x14ac:dyDescent="0.3">
      <c r="A15">
        <v>14</v>
      </c>
      <c r="B15" s="1" t="s">
        <v>18</v>
      </c>
      <c r="C15" s="1" t="s">
        <v>7</v>
      </c>
      <c r="D15" s="1" t="s">
        <v>11</v>
      </c>
      <c r="E15">
        <v>34</v>
      </c>
      <c r="F15">
        <v>75</v>
      </c>
      <c r="G15" s="1" t="str">
        <f>IF(Data_Analytics_Excel_Practice_Dataset[[#This Row],[Score]]&gt;=60,"PASS","FAIL")</f>
        <v>PASS</v>
      </c>
    </row>
    <row r="16" spans="1:7" x14ac:dyDescent="0.3">
      <c r="A16">
        <v>15</v>
      </c>
      <c r="B16" s="1" t="s">
        <v>19</v>
      </c>
      <c r="C16" s="1" t="s">
        <v>13</v>
      </c>
      <c r="D16" s="1" t="s">
        <v>11</v>
      </c>
      <c r="E16">
        <v>25</v>
      </c>
      <c r="F16">
        <v>97</v>
      </c>
      <c r="G16" s="1" t="str">
        <f>IF(Data_Analytics_Excel_Practice_Dataset[[#This Row],[Score]]&gt;=60,"PASS","FAIL")</f>
        <v>PASS</v>
      </c>
    </row>
    <row r="17" spans="1:7" x14ac:dyDescent="0.3">
      <c r="A17">
        <v>16</v>
      </c>
      <c r="B17" s="1" t="s">
        <v>14</v>
      </c>
      <c r="C17" s="1" t="s">
        <v>10</v>
      </c>
      <c r="D17" s="1" t="s">
        <v>16</v>
      </c>
      <c r="E17">
        <v>23</v>
      </c>
      <c r="F17">
        <v>73</v>
      </c>
      <c r="G17" s="1" t="str">
        <f>IF(Data_Analytics_Excel_Practice_Dataset[[#This Row],[Score]]&gt;=60,"PASS","FAIL")</f>
        <v>PASS</v>
      </c>
    </row>
    <row r="18" spans="1:7" x14ac:dyDescent="0.3">
      <c r="A18">
        <v>17</v>
      </c>
      <c r="B18" s="1" t="s">
        <v>17</v>
      </c>
      <c r="C18" s="1" t="s">
        <v>7</v>
      </c>
      <c r="D18" s="1" t="s">
        <v>16</v>
      </c>
      <c r="E18">
        <v>29</v>
      </c>
      <c r="F18">
        <v>55</v>
      </c>
      <c r="G18" s="1" t="str">
        <f>IF(Data_Analytics_Excel_Practice_Dataset[[#This Row],[Score]]&gt;=60,"PASS","FAIL")</f>
        <v>FAIL</v>
      </c>
    </row>
    <row r="19" spans="1:7" x14ac:dyDescent="0.3">
      <c r="A19">
        <v>18</v>
      </c>
      <c r="B19" s="1" t="s">
        <v>9</v>
      </c>
      <c r="C19" s="1" t="s">
        <v>7</v>
      </c>
      <c r="D19" s="1" t="s">
        <v>16</v>
      </c>
      <c r="E19">
        <v>21</v>
      </c>
      <c r="F19">
        <v>99</v>
      </c>
      <c r="G19" s="1" t="str">
        <f>IF(Data_Analytics_Excel_Practice_Dataset[[#This Row],[Score]]&gt;=60,"PASS","FAIL")</f>
        <v>PASS</v>
      </c>
    </row>
    <row r="20" spans="1:7" x14ac:dyDescent="0.3">
      <c r="A20">
        <v>19</v>
      </c>
      <c r="B20" s="1" t="s">
        <v>6</v>
      </c>
      <c r="C20" s="1" t="s">
        <v>7</v>
      </c>
      <c r="D20" s="1" t="s">
        <v>11</v>
      </c>
      <c r="E20">
        <v>29</v>
      </c>
      <c r="F20">
        <v>81</v>
      </c>
      <c r="G20" s="1" t="str">
        <f>IF(Data_Analytics_Excel_Practice_Dataset[[#This Row],[Score]]&gt;=60,"PASS","FAIL")</f>
        <v>PASS</v>
      </c>
    </row>
    <row r="21" spans="1:7" x14ac:dyDescent="0.3">
      <c r="A21">
        <v>20</v>
      </c>
      <c r="B21" s="1" t="s">
        <v>15</v>
      </c>
      <c r="C21" s="1" t="s">
        <v>10</v>
      </c>
      <c r="D21" s="1" t="s">
        <v>8</v>
      </c>
      <c r="E21">
        <v>27</v>
      </c>
      <c r="F21">
        <v>95</v>
      </c>
      <c r="G21" s="1" t="str">
        <f>IF(Data_Analytics_Excel_Practice_Dataset[[#This Row],[Score]]&gt;=60,"PASS","FAIL")</f>
        <v>PASS</v>
      </c>
    </row>
    <row r="22" spans="1:7" x14ac:dyDescent="0.3">
      <c r="A22">
        <v>21</v>
      </c>
      <c r="B22" s="1" t="s">
        <v>19</v>
      </c>
      <c r="C22" s="1" t="s">
        <v>7</v>
      </c>
      <c r="D22" s="1" t="s">
        <v>16</v>
      </c>
      <c r="E22">
        <v>30</v>
      </c>
      <c r="F22">
        <v>91</v>
      </c>
      <c r="G22" s="1" t="str">
        <f>IF(Data_Analytics_Excel_Practice_Dataset[[#This Row],[Score]]&gt;=60,"PASS","FAIL")</f>
        <v>PASS</v>
      </c>
    </row>
    <row r="23" spans="1:7" x14ac:dyDescent="0.3">
      <c r="A23">
        <v>22</v>
      </c>
      <c r="B23" s="1" t="s">
        <v>6</v>
      </c>
      <c r="C23" s="1" t="s">
        <v>13</v>
      </c>
      <c r="D23" s="1" t="s">
        <v>16</v>
      </c>
      <c r="E23">
        <v>25</v>
      </c>
      <c r="F23">
        <v>50</v>
      </c>
      <c r="G23" s="1" t="str">
        <f>IF(Data_Analytics_Excel_Practice_Dataset[[#This Row],[Score]]&gt;=60,"PASS","FAIL")</f>
        <v>FAIL</v>
      </c>
    </row>
    <row r="24" spans="1:7" x14ac:dyDescent="0.3">
      <c r="A24">
        <v>23</v>
      </c>
      <c r="B24" s="1" t="s">
        <v>12</v>
      </c>
      <c r="C24" s="1" t="s">
        <v>7</v>
      </c>
      <c r="D24" s="1" t="s">
        <v>16</v>
      </c>
      <c r="E24">
        <v>25</v>
      </c>
      <c r="F24">
        <v>75</v>
      </c>
      <c r="G24" s="1" t="str">
        <f>IF(Data_Analytics_Excel_Practice_Dataset[[#This Row],[Score]]&gt;=60,"PASS","FAIL")</f>
        <v>PASS</v>
      </c>
    </row>
    <row r="25" spans="1:7" x14ac:dyDescent="0.3">
      <c r="A25">
        <v>24</v>
      </c>
      <c r="B25" s="1" t="s">
        <v>17</v>
      </c>
      <c r="C25" s="1" t="s">
        <v>10</v>
      </c>
      <c r="D25" s="1" t="s">
        <v>16</v>
      </c>
      <c r="E25">
        <v>29</v>
      </c>
      <c r="F25">
        <v>79</v>
      </c>
      <c r="G25" s="1" t="str">
        <f>IF(Data_Analytics_Excel_Practice_Dataset[[#This Row],[Score]]&gt;=60,"PASS","FAIL")</f>
        <v>PASS</v>
      </c>
    </row>
    <row r="26" spans="1:7" x14ac:dyDescent="0.3">
      <c r="A26">
        <v>25</v>
      </c>
      <c r="B26" s="1" t="s">
        <v>18</v>
      </c>
      <c r="C26" s="1" t="s">
        <v>7</v>
      </c>
      <c r="D26" s="1" t="s">
        <v>16</v>
      </c>
      <c r="E26">
        <v>18</v>
      </c>
      <c r="F26">
        <v>74</v>
      </c>
      <c r="G26" s="1" t="str">
        <f>IF(Data_Analytics_Excel_Practice_Dataset[[#This Row],[Score]]&gt;=60,"PASS","FAIL")</f>
        <v>PASS</v>
      </c>
    </row>
    <row r="27" spans="1:7" x14ac:dyDescent="0.3">
      <c r="A27">
        <v>26</v>
      </c>
      <c r="B27" s="1" t="s">
        <v>17</v>
      </c>
      <c r="C27" s="1" t="s">
        <v>13</v>
      </c>
      <c r="D27" s="1" t="s">
        <v>16</v>
      </c>
      <c r="E27">
        <v>35</v>
      </c>
      <c r="F27">
        <v>63</v>
      </c>
      <c r="G27" s="1" t="str">
        <f>IF(Data_Analytics_Excel_Practice_Dataset[[#This Row],[Score]]&gt;=60,"PASS","FAIL")</f>
        <v>PASS</v>
      </c>
    </row>
    <row r="28" spans="1:7" x14ac:dyDescent="0.3">
      <c r="A28">
        <v>27</v>
      </c>
      <c r="B28" s="1" t="s">
        <v>14</v>
      </c>
      <c r="C28" s="1" t="s">
        <v>13</v>
      </c>
      <c r="D28" s="1" t="s">
        <v>11</v>
      </c>
      <c r="E28">
        <v>29</v>
      </c>
      <c r="F28">
        <v>86</v>
      </c>
      <c r="G28" s="1" t="str">
        <f>IF(Data_Analytics_Excel_Practice_Dataset[[#This Row],[Score]]&gt;=60,"PASS","FAIL")</f>
        <v>PASS</v>
      </c>
    </row>
    <row r="29" spans="1:7" x14ac:dyDescent="0.3">
      <c r="A29">
        <v>28</v>
      </c>
      <c r="B29" s="1" t="s">
        <v>17</v>
      </c>
      <c r="C29" s="1" t="s">
        <v>13</v>
      </c>
      <c r="D29" s="1" t="s">
        <v>16</v>
      </c>
      <c r="E29">
        <v>31</v>
      </c>
      <c r="F29">
        <v>81</v>
      </c>
      <c r="G29" s="1" t="str">
        <f>IF(Data_Analytics_Excel_Practice_Dataset[[#This Row],[Score]]&gt;=60,"PASS","FAIL")</f>
        <v>PASS</v>
      </c>
    </row>
    <row r="30" spans="1:7" x14ac:dyDescent="0.3">
      <c r="A30">
        <v>29</v>
      </c>
      <c r="B30" s="1" t="s">
        <v>20</v>
      </c>
      <c r="C30" s="1" t="s">
        <v>10</v>
      </c>
      <c r="D30" s="1" t="s">
        <v>11</v>
      </c>
      <c r="E30">
        <v>18</v>
      </c>
      <c r="F30">
        <v>84</v>
      </c>
      <c r="G30" s="1" t="str">
        <f>IF(Data_Analytics_Excel_Practice_Dataset[[#This Row],[Score]]&gt;=60,"PASS","FAIL")</f>
        <v>PASS</v>
      </c>
    </row>
    <row r="31" spans="1:7" x14ac:dyDescent="0.3">
      <c r="A31">
        <v>30</v>
      </c>
      <c r="B31" s="1" t="s">
        <v>17</v>
      </c>
      <c r="C31" s="1" t="s">
        <v>7</v>
      </c>
      <c r="D31" s="1" t="s">
        <v>16</v>
      </c>
      <c r="E31">
        <v>28</v>
      </c>
      <c r="F31">
        <v>79</v>
      </c>
      <c r="G31" s="1" t="str">
        <f>IF(Data_Analytics_Excel_Practice_Dataset[[#This Row],[Score]]&gt;=60,"PASS","FAIL")</f>
        <v>PASS</v>
      </c>
    </row>
    <row r="32" spans="1:7" x14ac:dyDescent="0.3">
      <c r="A32">
        <v>31</v>
      </c>
      <c r="B32" s="1" t="s">
        <v>19</v>
      </c>
      <c r="C32" s="1" t="s">
        <v>13</v>
      </c>
      <c r="D32" s="1" t="s">
        <v>8</v>
      </c>
      <c r="E32">
        <v>23</v>
      </c>
      <c r="F32">
        <v>85</v>
      </c>
      <c r="G32" s="1" t="str">
        <f>IF(Data_Analytics_Excel_Practice_Dataset[[#This Row],[Score]]&gt;=60,"PASS","FAIL")</f>
        <v>PASS</v>
      </c>
    </row>
    <row r="33" spans="1:7" x14ac:dyDescent="0.3">
      <c r="A33">
        <v>32</v>
      </c>
      <c r="B33" s="1" t="s">
        <v>19</v>
      </c>
      <c r="C33" s="1" t="s">
        <v>13</v>
      </c>
      <c r="D33" s="1" t="s">
        <v>8</v>
      </c>
      <c r="E33">
        <v>35</v>
      </c>
      <c r="F33">
        <v>66</v>
      </c>
      <c r="G33" s="1" t="str">
        <f>IF(Data_Analytics_Excel_Practice_Dataset[[#This Row],[Score]]&gt;=60,"PASS","FAIL")</f>
        <v>PASS</v>
      </c>
    </row>
    <row r="34" spans="1:7" x14ac:dyDescent="0.3">
      <c r="A34">
        <v>33</v>
      </c>
      <c r="B34" s="1" t="s">
        <v>15</v>
      </c>
      <c r="C34" s="1" t="s">
        <v>7</v>
      </c>
      <c r="D34" s="1" t="s">
        <v>8</v>
      </c>
      <c r="E34">
        <v>20</v>
      </c>
      <c r="F34">
        <v>51</v>
      </c>
      <c r="G34" s="1" t="str">
        <f>IF(Data_Analytics_Excel_Practice_Dataset[[#This Row],[Score]]&gt;=60,"PASS","FAIL")</f>
        <v>FAIL</v>
      </c>
    </row>
    <row r="35" spans="1:7" x14ac:dyDescent="0.3">
      <c r="A35">
        <v>34</v>
      </c>
      <c r="B35" s="1" t="s">
        <v>9</v>
      </c>
      <c r="C35" s="1" t="s">
        <v>13</v>
      </c>
      <c r="D35" s="1" t="s">
        <v>11</v>
      </c>
      <c r="E35">
        <v>25</v>
      </c>
      <c r="F35">
        <v>67</v>
      </c>
      <c r="G35" s="1" t="str">
        <f>IF(Data_Analytics_Excel_Practice_Dataset[[#This Row],[Score]]&gt;=60,"PASS","FAIL")</f>
        <v>PASS</v>
      </c>
    </row>
    <row r="36" spans="1:7" x14ac:dyDescent="0.3">
      <c r="A36">
        <v>35</v>
      </c>
      <c r="B36" s="1" t="s">
        <v>21</v>
      </c>
      <c r="C36" s="1" t="s">
        <v>7</v>
      </c>
      <c r="D36" s="1" t="s">
        <v>8</v>
      </c>
      <c r="E36">
        <v>29</v>
      </c>
      <c r="F36">
        <v>68</v>
      </c>
      <c r="G36" s="1" t="str">
        <f>IF(Data_Analytics_Excel_Practice_Dataset[[#This Row],[Score]]&gt;=60,"PASS","FAIL")</f>
        <v>PASS</v>
      </c>
    </row>
    <row r="37" spans="1:7" x14ac:dyDescent="0.3">
      <c r="A37">
        <v>36</v>
      </c>
      <c r="B37" s="1" t="s">
        <v>21</v>
      </c>
      <c r="C37" s="1" t="s">
        <v>13</v>
      </c>
      <c r="D37" s="1" t="s">
        <v>8</v>
      </c>
      <c r="E37">
        <v>26</v>
      </c>
      <c r="F37">
        <v>83</v>
      </c>
      <c r="G37" s="1" t="str">
        <f>IF(Data_Analytics_Excel_Practice_Dataset[[#This Row],[Score]]&gt;=60,"PASS","FAIL")</f>
        <v>PASS</v>
      </c>
    </row>
    <row r="38" spans="1:7" x14ac:dyDescent="0.3">
      <c r="A38">
        <v>37</v>
      </c>
      <c r="B38" s="1" t="s">
        <v>6</v>
      </c>
      <c r="C38" s="1" t="s">
        <v>7</v>
      </c>
      <c r="D38" s="1" t="s">
        <v>11</v>
      </c>
      <c r="E38">
        <v>27</v>
      </c>
      <c r="F38">
        <v>79</v>
      </c>
      <c r="G38" s="1" t="str">
        <f>IF(Data_Analytics_Excel_Practice_Dataset[[#This Row],[Score]]&gt;=60,"PASS","FAIL")</f>
        <v>PASS</v>
      </c>
    </row>
    <row r="39" spans="1:7" x14ac:dyDescent="0.3">
      <c r="A39">
        <v>38</v>
      </c>
      <c r="B39" s="1" t="s">
        <v>20</v>
      </c>
      <c r="C39" s="1" t="s">
        <v>10</v>
      </c>
      <c r="D39" s="1" t="s">
        <v>11</v>
      </c>
      <c r="E39">
        <v>21</v>
      </c>
      <c r="F39">
        <v>51</v>
      </c>
      <c r="G39" s="1" t="str">
        <f>IF(Data_Analytics_Excel_Practice_Dataset[[#This Row],[Score]]&gt;=60,"PASS","FAIL")</f>
        <v>FAIL</v>
      </c>
    </row>
    <row r="40" spans="1:7" x14ac:dyDescent="0.3">
      <c r="A40">
        <v>39</v>
      </c>
      <c r="B40" s="1" t="s">
        <v>18</v>
      </c>
      <c r="C40" s="1" t="s">
        <v>10</v>
      </c>
      <c r="D40" s="1" t="s">
        <v>11</v>
      </c>
      <c r="E40">
        <v>31</v>
      </c>
      <c r="F40">
        <v>100</v>
      </c>
      <c r="G40" s="1" t="str">
        <f>IF(Data_Analytics_Excel_Practice_Dataset[[#This Row],[Score]]&gt;=60,"PASS","FAIL")</f>
        <v>PASS</v>
      </c>
    </row>
    <row r="41" spans="1:7" x14ac:dyDescent="0.3">
      <c r="A41">
        <v>40</v>
      </c>
      <c r="B41" s="1" t="s">
        <v>12</v>
      </c>
      <c r="C41" s="1" t="s">
        <v>10</v>
      </c>
      <c r="D41" s="1" t="s">
        <v>8</v>
      </c>
      <c r="E41">
        <v>26</v>
      </c>
      <c r="F41">
        <v>96</v>
      </c>
      <c r="G41" s="1" t="str">
        <f>IF(Data_Analytics_Excel_Practice_Dataset[[#This Row],[Score]]&gt;=60,"PASS","FAIL")</f>
        <v>PASS</v>
      </c>
    </row>
    <row r="42" spans="1:7" x14ac:dyDescent="0.3">
      <c r="A42">
        <v>41</v>
      </c>
      <c r="B42" s="1" t="s">
        <v>17</v>
      </c>
      <c r="C42" s="1" t="s">
        <v>13</v>
      </c>
      <c r="D42" s="1" t="s">
        <v>16</v>
      </c>
      <c r="E42">
        <v>31</v>
      </c>
      <c r="F42">
        <v>51</v>
      </c>
      <c r="G42" s="1" t="str">
        <f>IF(Data_Analytics_Excel_Practice_Dataset[[#This Row],[Score]]&gt;=60,"PASS","FAIL")</f>
        <v>FAIL</v>
      </c>
    </row>
    <row r="43" spans="1:7" x14ac:dyDescent="0.3">
      <c r="A43">
        <v>42</v>
      </c>
      <c r="B43" s="1" t="s">
        <v>12</v>
      </c>
      <c r="C43" s="1" t="s">
        <v>13</v>
      </c>
      <c r="D43" s="1" t="s">
        <v>11</v>
      </c>
      <c r="E43">
        <v>22</v>
      </c>
      <c r="F43">
        <v>52</v>
      </c>
      <c r="G43" s="1" t="str">
        <f>IF(Data_Analytics_Excel_Practice_Dataset[[#This Row],[Score]]&gt;=60,"PASS","FAIL")</f>
        <v>FAIL</v>
      </c>
    </row>
    <row r="44" spans="1:7" x14ac:dyDescent="0.3">
      <c r="A44">
        <v>43</v>
      </c>
      <c r="B44" s="1" t="s">
        <v>6</v>
      </c>
      <c r="C44" s="1" t="s">
        <v>10</v>
      </c>
      <c r="D44" s="1" t="s">
        <v>16</v>
      </c>
      <c r="E44">
        <v>34</v>
      </c>
      <c r="F44">
        <v>93</v>
      </c>
      <c r="G44" s="1" t="str">
        <f>IF(Data_Analytics_Excel_Practice_Dataset[[#This Row],[Score]]&gt;=60,"PASS","FAIL")</f>
        <v>PASS</v>
      </c>
    </row>
    <row r="45" spans="1:7" x14ac:dyDescent="0.3">
      <c r="A45">
        <v>44</v>
      </c>
      <c r="B45" s="1" t="s">
        <v>14</v>
      </c>
      <c r="C45" s="1" t="s">
        <v>7</v>
      </c>
      <c r="D45" s="1" t="s">
        <v>8</v>
      </c>
      <c r="E45">
        <v>34</v>
      </c>
      <c r="F45">
        <v>78</v>
      </c>
      <c r="G45" s="1" t="str">
        <f>IF(Data_Analytics_Excel_Practice_Dataset[[#This Row],[Score]]&gt;=60,"PASS","FAIL")</f>
        <v>PASS</v>
      </c>
    </row>
    <row r="46" spans="1:7" x14ac:dyDescent="0.3">
      <c r="A46">
        <v>45</v>
      </c>
      <c r="B46" s="1" t="s">
        <v>12</v>
      </c>
      <c r="C46" s="1" t="s">
        <v>7</v>
      </c>
      <c r="D46" s="1" t="s">
        <v>16</v>
      </c>
      <c r="E46">
        <v>18</v>
      </c>
      <c r="F46">
        <v>75</v>
      </c>
      <c r="G46" s="1" t="str">
        <f>IF(Data_Analytics_Excel_Practice_Dataset[[#This Row],[Score]]&gt;=60,"PASS","FAIL")</f>
        <v>PASS</v>
      </c>
    </row>
    <row r="47" spans="1:7" x14ac:dyDescent="0.3">
      <c r="A47">
        <v>46</v>
      </c>
      <c r="B47" s="1" t="s">
        <v>19</v>
      </c>
      <c r="C47" s="1" t="s">
        <v>10</v>
      </c>
      <c r="D47" s="1" t="s">
        <v>16</v>
      </c>
      <c r="E47">
        <v>31</v>
      </c>
      <c r="F47">
        <v>53</v>
      </c>
      <c r="G47" s="1" t="str">
        <f>IF(Data_Analytics_Excel_Practice_Dataset[[#This Row],[Score]]&gt;=60,"PASS","FAIL")</f>
        <v>FAIL</v>
      </c>
    </row>
    <row r="48" spans="1:7" x14ac:dyDescent="0.3">
      <c r="A48">
        <v>47</v>
      </c>
      <c r="B48" s="1" t="s">
        <v>18</v>
      </c>
      <c r="C48" s="1" t="s">
        <v>13</v>
      </c>
      <c r="D48" s="1" t="s">
        <v>8</v>
      </c>
      <c r="E48">
        <v>19</v>
      </c>
      <c r="F48">
        <v>69</v>
      </c>
      <c r="G48" s="1" t="str">
        <f>IF(Data_Analytics_Excel_Practice_Dataset[[#This Row],[Score]]&gt;=60,"PASS","FAIL")</f>
        <v>PASS</v>
      </c>
    </row>
    <row r="49" spans="1:7" x14ac:dyDescent="0.3">
      <c r="A49">
        <v>48</v>
      </c>
      <c r="B49" s="1" t="s">
        <v>21</v>
      </c>
      <c r="C49" s="1" t="s">
        <v>13</v>
      </c>
      <c r="D49" s="1" t="s">
        <v>11</v>
      </c>
      <c r="E49">
        <v>27</v>
      </c>
      <c r="F49">
        <v>97</v>
      </c>
      <c r="G49" s="1" t="str">
        <f>IF(Data_Analytics_Excel_Practice_Dataset[[#This Row],[Score]]&gt;=60,"PASS","FAIL")</f>
        <v>PASS</v>
      </c>
    </row>
    <row r="50" spans="1:7" x14ac:dyDescent="0.3">
      <c r="A50">
        <v>49</v>
      </c>
      <c r="B50" s="1" t="s">
        <v>6</v>
      </c>
      <c r="C50" s="1" t="s">
        <v>10</v>
      </c>
      <c r="D50" s="1" t="s">
        <v>16</v>
      </c>
      <c r="E50">
        <v>26</v>
      </c>
      <c r="F50">
        <v>58</v>
      </c>
      <c r="G50" s="1" t="str">
        <f>IF(Data_Analytics_Excel_Practice_Dataset[[#This Row],[Score]]&gt;=60,"PASS","FAIL")</f>
        <v>FAIL</v>
      </c>
    </row>
    <row r="51" spans="1:7" x14ac:dyDescent="0.3">
      <c r="A51">
        <v>50</v>
      </c>
      <c r="B51" s="1" t="s">
        <v>15</v>
      </c>
      <c r="C51" s="1" t="s">
        <v>7</v>
      </c>
      <c r="D51" s="1" t="s">
        <v>8</v>
      </c>
      <c r="E51">
        <v>24</v>
      </c>
      <c r="F51">
        <v>86</v>
      </c>
      <c r="G51" s="1" t="str">
        <f>IF(Data_Analytics_Excel_Practice_Dataset[[#This Row],[Score]]&gt;=60,"PASS","FAIL")</f>
        <v>PASS</v>
      </c>
    </row>
    <row r="53" spans="1:7" x14ac:dyDescent="0.3">
      <c r="A53" t="s">
        <v>22</v>
      </c>
      <c r="B53">
        <f>COUNT((Data_Analytics_Excel_Practice_Dataset[StudentID]))</f>
        <v>50</v>
      </c>
    </row>
    <row r="54" spans="1:7" x14ac:dyDescent="0.3">
      <c r="A54" t="s">
        <v>23</v>
      </c>
      <c r="B54">
        <f>SUM(Data_Analytics_Excel_Practice_Dataset[Score])</f>
        <v>3795</v>
      </c>
    </row>
    <row r="55" spans="1:7" x14ac:dyDescent="0.3">
      <c r="A55" t="s">
        <v>24</v>
      </c>
      <c r="B55">
        <f>MIN(Data_Analytics_Excel_Practice_Dataset[Score])</f>
        <v>50</v>
      </c>
    </row>
    <row r="56" spans="1:7" x14ac:dyDescent="0.3">
      <c r="A56" t="s">
        <v>25</v>
      </c>
      <c r="B56">
        <f>MAX(Data_Analytics_Excel_Practice_Dataset[Score])</f>
        <v>100</v>
      </c>
    </row>
    <row r="57" spans="1:7" x14ac:dyDescent="0.3">
      <c r="A57" t="s">
        <v>26</v>
      </c>
      <c r="B57">
        <f>AVERAGE(Data_Analytics_Excel_Practice_Dataset[Score])</f>
        <v>75.900000000000006</v>
      </c>
    </row>
    <row r="58" spans="1:7" x14ac:dyDescent="0.3">
      <c r="A58" t="s">
        <v>27</v>
      </c>
      <c r="B58">
        <f>AVERAGE(Data_Analytics_Excel_Practice_Dataset[Score])</f>
        <v>75.900000000000006</v>
      </c>
    </row>
    <row r="59" spans="1:7" x14ac:dyDescent="0.3">
      <c r="A59" t="s">
        <v>28</v>
      </c>
      <c r="B59">
        <f>MEDIAN(Data_Analytics_Excel_Practice_Dataset[Score])</f>
        <v>77</v>
      </c>
    </row>
    <row r="60" spans="1:7" x14ac:dyDescent="0.3">
      <c r="A60" t="s">
        <v>29</v>
      </c>
      <c r="B60">
        <f>MODE(Data_Analytics_Excel_Practice_Dataset[Score])</f>
        <v>51</v>
      </c>
    </row>
    <row r="61" spans="1:7" x14ac:dyDescent="0.3">
      <c r="A61" t="s">
        <v>30</v>
      </c>
      <c r="B61">
        <f>_xlfn.VAR.S(Data_Analytics_Excel_Practice_Dataset[Score])</f>
        <v>251.39795918367346</v>
      </c>
    </row>
    <row r="62" spans="1:7" x14ac:dyDescent="0.3">
      <c r="A62" t="s">
        <v>31</v>
      </c>
      <c r="B62">
        <f>_xlfn.STDEV.S(Data_Analytics_Excel_Practice_Dataset[Score])</f>
        <v>15.855534023919644</v>
      </c>
    </row>
    <row r="63" spans="1:7" x14ac:dyDescent="0.3">
      <c r="A63" t="s">
        <v>32</v>
      </c>
      <c r="B63">
        <f>COUNTIF(Data_Analytics_Excel_Practice_Dataset[Course],C48)</f>
        <v>17</v>
      </c>
    </row>
    <row r="64" spans="1:7" x14ac:dyDescent="0.3">
      <c r="A64" t="s">
        <v>33</v>
      </c>
      <c r="B64">
        <f>SUMIF(Data_Analytics_Excel_Practice_Dataset[Course],C47,Data_Analytics_Excel_Practice_Dataset[Score])</f>
        <v>1027</v>
      </c>
    </row>
    <row r="65" spans="1:2" x14ac:dyDescent="0.3">
      <c r="A65" t="s">
        <v>34</v>
      </c>
      <c r="B65">
        <f>AVERAGEIF(Data_Analytics_Excel_Practice_Dataset[Course],C45,Data_Analytics_Excel_Practice_Dataset[Score])</f>
        <v>75.400000000000006</v>
      </c>
    </row>
    <row r="66" spans="1:2" x14ac:dyDescent="0.3">
      <c r="A66" t="s">
        <v>32</v>
      </c>
      <c r="B66">
        <f>COUNTIF(Data_Analytics_Excel_Practice_Dataset[Batch],D51)</f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C309-641D-4ADB-9E92-0877BE5531C8}">
  <dimension ref="A1"/>
  <sheetViews>
    <sheetView workbookViewId="0">
      <selection activeCell="D2" sqref="D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277EE-AE65-47D7-9860-A2ACE47C1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Data_Analytics_Excel_Practice_D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2026-07-14T06:21:55Z</dcterms:created>
  <dcterms:modified xsi:type="dcterms:W3CDTF">2026-07-14T06:46:30Z</dcterms:modified>
</cp:coreProperties>
</file>